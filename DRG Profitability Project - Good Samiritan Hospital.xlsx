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fileSharing readOnlyRecommended="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bdulrahmanalali/Desktop/"/>
    </mc:Choice>
  </mc:AlternateContent>
  <xr:revisionPtr revIDLastSave="0" documentId="8_{96A2DD7E-74E4-BA49-A0F9-EB1DBE065E2B}" xr6:coauthVersionLast="47" xr6:coauthVersionMax="47" xr10:uidLastSave="{00000000-0000-0000-0000-000000000000}"/>
  <bookViews>
    <workbookView xWindow="20080" yWindow="1300" windowWidth="29860" windowHeight="27500" xr2:uid="{00000000-000D-0000-FFFF-FFFF00000000}"/>
  </bookViews>
  <sheets>
    <sheet name="Cover Page" sheetId="9" r:id="rId1"/>
    <sheet name="Output &amp; Summary" sheetId="10" r:id="rId2"/>
    <sheet name="Input" sheetId="2" r:id="rId3"/>
    <sheet name="Master Table" sheetId="3" r:id="rId4"/>
    <sheet name="SC1 Admission Drop Scenario" sheetId="7" r:id="rId5"/>
    <sheet name="SC2 Reduce LOS" sheetId="8" r:id="rId6"/>
    <sheet name="Ohio Urban Hospitals Financial " sheetId="1" r:id="rId7"/>
    <sheet name="Good Samaritan Hospital" sheetId="4" r:id="rId8"/>
  </sheets>
  <definedNames>
    <definedName name="_xlnm._FilterDatabase" localSheetId="3" hidden="1">'Master Table'!$B$2:$M$67</definedName>
    <definedName name="_xlnm._FilterDatabase" localSheetId="6" hidden="1">'Ohio Urban Hospitals Financial '!$A$1:$P$53</definedName>
    <definedName name="_xlnm._FilterDatabase" localSheetId="5" hidden="1">'SC2 Reduce LOS'!$B$2:$U$68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15" i="3"/>
  <c r="I3" i="3"/>
  <c r="H3" i="3"/>
  <c r="T3" i="8"/>
  <c r="C17" i="2"/>
  <c r="L3" i="8"/>
  <c r="P3" i="8"/>
  <c r="Q3" i="8" s="1"/>
  <c r="H3" i="8"/>
  <c r="P6" i="8"/>
  <c r="Q6" i="8" s="1"/>
  <c r="T6" i="3" s="1"/>
  <c r="P4" i="8"/>
  <c r="S4" i="3" s="1"/>
  <c r="P5" i="8"/>
  <c r="S5" i="3" s="1"/>
  <c r="P7" i="8"/>
  <c r="Q7" i="8" s="1"/>
  <c r="T7" i="3" s="1"/>
  <c r="P8" i="8"/>
  <c r="Q8" i="8" s="1"/>
  <c r="T8" i="3" s="1"/>
  <c r="P9" i="8"/>
  <c r="Q9" i="8" s="1"/>
  <c r="T9" i="3" s="1"/>
  <c r="P10" i="8"/>
  <c r="Q10" i="8" s="1"/>
  <c r="T10" i="3" s="1"/>
  <c r="P11" i="8"/>
  <c r="Q11" i="8" s="1"/>
  <c r="T11" i="3" s="1"/>
  <c r="P12" i="8"/>
  <c r="S12" i="3" s="1"/>
  <c r="P13" i="8"/>
  <c r="Q13" i="8" s="1"/>
  <c r="T13" i="3" s="1"/>
  <c r="P14" i="8"/>
  <c r="Q14" i="8" s="1"/>
  <c r="T14" i="3" s="1"/>
  <c r="P15" i="8"/>
  <c r="Q15" i="8" s="1"/>
  <c r="T15" i="3" s="1"/>
  <c r="P16" i="8"/>
  <c r="Q16" i="8" s="1"/>
  <c r="T16" i="3" s="1"/>
  <c r="P17" i="8"/>
  <c r="Q17" i="8" s="1"/>
  <c r="T17" i="3" s="1"/>
  <c r="P18" i="8"/>
  <c r="Q18" i="8" s="1"/>
  <c r="T18" i="3" s="1"/>
  <c r="P19" i="8"/>
  <c r="Q19" i="8" s="1"/>
  <c r="T19" i="3" s="1"/>
  <c r="P20" i="8"/>
  <c r="S20" i="3" s="1"/>
  <c r="P21" i="8"/>
  <c r="Q21" i="8" s="1"/>
  <c r="T21" i="3" s="1"/>
  <c r="P22" i="8"/>
  <c r="Q22" i="8" s="1"/>
  <c r="T22" i="3" s="1"/>
  <c r="P23" i="8"/>
  <c r="S23" i="3" s="1"/>
  <c r="P24" i="8"/>
  <c r="Q24" i="8" s="1"/>
  <c r="T24" i="3" s="1"/>
  <c r="P25" i="8"/>
  <c r="Q25" i="8" s="1"/>
  <c r="T25" i="3" s="1"/>
  <c r="P26" i="8"/>
  <c r="Q26" i="8" s="1"/>
  <c r="T26" i="3" s="1"/>
  <c r="P27" i="8"/>
  <c r="Q27" i="8" s="1"/>
  <c r="T27" i="3" s="1"/>
  <c r="P28" i="8"/>
  <c r="S28" i="3" s="1"/>
  <c r="P29" i="8"/>
  <c r="Q29" i="8" s="1"/>
  <c r="T29" i="3" s="1"/>
  <c r="P30" i="8"/>
  <c r="Q30" i="8" s="1"/>
  <c r="T30" i="3" s="1"/>
  <c r="P31" i="8"/>
  <c r="Q31" i="8" s="1"/>
  <c r="T31" i="3" s="1"/>
  <c r="P32" i="8"/>
  <c r="Q32" i="8" s="1"/>
  <c r="T32" i="3" s="1"/>
  <c r="P33" i="8"/>
  <c r="Q33" i="8" s="1"/>
  <c r="T33" i="3" s="1"/>
  <c r="P34" i="8"/>
  <c r="Q34" i="8" s="1"/>
  <c r="T34" i="3" s="1"/>
  <c r="P35" i="8"/>
  <c r="Q35" i="8" s="1"/>
  <c r="T35" i="3" s="1"/>
  <c r="P36" i="8"/>
  <c r="S36" i="3" s="1"/>
  <c r="P37" i="8"/>
  <c r="S37" i="3" s="1"/>
  <c r="P38" i="8"/>
  <c r="S38" i="3" s="1"/>
  <c r="P39" i="8"/>
  <c r="Q39" i="8" s="1"/>
  <c r="T39" i="3" s="1"/>
  <c r="P40" i="8"/>
  <c r="Q40" i="8" s="1"/>
  <c r="T40" i="3" s="1"/>
  <c r="P41" i="8"/>
  <c r="Q41" i="8" s="1"/>
  <c r="T41" i="3" s="1"/>
  <c r="P42" i="8"/>
  <c r="Q42" i="8" s="1"/>
  <c r="P43" i="8"/>
  <c r="Q43" i="8" s="1"/>
  <c r="T43" i="3" s="1"/>
  <c r="P44" i="8"/>
  <c r="S44" i="3" s="1"/>
  <c r="P45" i="8"/>
  <c r="S45" i="3" s="1"/>
  <c r="P46" i="8"/>
  <c r="Q46" i="8" s="1"/>
  <c r="T46" i="3" s="1"/>
  <c r="P47" i="8"/>
  <c r="Q47" i="8" s="1"/>
  <c r="T47" i="3" s="1"/>
  <c r="P48" i="8"/>
  <c r="Q48" i="8" s="1"/>
  <c r="T48" i="3" s="1"/>
  <c r="P49" i="8"/>
  <c r="Q49" i="8" s="1"/>
  <c r="T49" i="3" s="1"/>
  <c r="P50" i="8"/>
  <c r="Q50" i="8" s="1"/>
  <c r="T50" i="3" s="1"/>
  <c r="P51" i="8"/>
  <c r="Q51" i="8" s="1"/>
  <c r="T51" i="3" s="1"/>
  <c r="P52" i="8"/>
  <c r="Q52" i="8" s="1"/>
  <c r="T52" i="3" s="1"/>
  <c r="P53" i="8"/>
  <c r="S53" i="3" s="1"/>
  <c r="P54" i="8"/>
  <c r="Q54" i="8" s="1"/>
  <c r="T54" i="3" s="1"/>
  <c r="P55" i="8"/>
  <c r="S55" i="3" s="1"/>
  <c r="P56" i="8"/>
  <c r="Q56" i="8" s="1"/>
  <c r="T56" i="3" s="1"/>
  <c r="P57" i="8"/>
  <c r="Q57" i="8" s="1"/>
  <c r="T57" i="3" s="1"/>
  <c r="P58" i="8"/>
  <c r="S58" i="3" s="1"/>
  <c r="P59" i="8"/>
  <c r="Q59" i="8" s="1"/>
  <c r="T59" i="3" s="1"/>
  <c r="P60" i="8"/>
  <c r="Q60" i="8" s="1"/>
  <c r="P61" i="8"/>
  <c r="S61" i="3" s="1"/>
  <c r="P62" i="8"/>
  <c r="Q62" i="8" s="1"/>
  <c r="T62" i="3" s="1"/>
  <c r="P63" i="8"/>
  <c r="Q63" i="8" s="1"/>
  <c r="T63" i="3" s="1"/>
  <c r="P64" i="8"/>
  <c r="Q64" i="8" s="1"/>
  <c r="T64" i="3" s="1"/>
  <c r="P65" i="8"/>
  <c r="Q65" i="8" s="1"/>
  <c r="T65" i="3" s="1"/>
  <c r="P66" i="8"/>
  <c r="S66" i="3" s="1"/>
  <c r="P67" i="8"/>
  <c r="Q67" i="8" s="1"/>
  <c r="T67" i="3" s="1"/>
  <c r="Q20" i="8"/>
  <c r="T20" i="3" s="1"/>
  <c r="L67" i="8"/>
  <c r="H67" i="8"/>
  <c r="L66" i="8"/>
  <c r="H66" i="8"/>
  <c r="L65" i="8"/>
  <c r="H65" i="8"/>
  <c r="L64" i="8"/>
  <c r="H64" i="8"/>
  <c r="L63" i="8"/>
  <c r="H63" i="8"/>
  <c r="L62" i="8"/>
  <c r="H62" i="8"/>
  <c r="L61" i="8"/>
  <c r="H61" i="8"/>
  <c r="L60" i="8"/>
  <c r="H60" i="8"/>
  <c r="L59" i="8"/>
  <c r="H59" i="8"/>
  <c r="L58" i="8"/>
  <c r="H58" i="8"/>
  <c r="L57" i="8"/>
  <c r="H57" i="8"/>
  <c r="L56" i="8"/>
  <c r="H56" i="8"/>
  <c r="L55" i="8"/>
  <c r="H55" i="8"/>
  <c r="L54" i="8"/>
  <c r="H54" i="8"/>
  <c r="L53" i="8"/>
  <c r="H53" i="8"/>
  <c r="L52" i="8"/>
  <c r="H52" i="8"/>
  <c r="L51" i="8"/>
  <c r="H51" i="8"/>
  <c r="L50" i="8"/>
  <c r="H50" i="8"/>
  <c r="L49" i="8"/>
  <c r="H49" i="8"/>
  <c r="L48" i="8"/>
  <c r="H48" i="8"/>
  <c r="L47" i="8"/>
  <c r="H47" i="8"/>
  <c r="L46" i="8"/>
  <c r="H46" i="8"/>
  <c r="L45" i="8"/>
  <c r="H45" i="8"/>
  <c r="L44" i="8"/>
  <c r="H44" i="8"/>
  <c r="L43" i="8"/>
  <c r="H43" i="8"/>
  <c r="L42" i="8"/>
  <c r="H42" i="8"/>
  <c r="L41" i="8"/>
  <c r="H41" i="8"/>
  <c r="L40" i="8"/>
  <c r="H40" i="8"/>
  <c r="L39" i="8"/>
  <c r="H39" i="8"/>
  <c r="L38" i="8"/>
  <c r="H38" i="8"/>
  <c r="L37" i="8"/>
  <c r="H37" i="8"/>
  <c r="L36" i="8"/>
  <c r="H36" i="8"/>
  <c r="L35" i="8"/>
  <c r="H35" i="8"/>
  <c r="L34" i="8"/>
  <c r="H34" i="8"/>
  <c r="L33" i="8"/>
  <c r="H33" i="8"/>
  <c r="L32" i="8"/>
  <c r="H32" i="8"/>
  <c r="L31" i="8"/>
  <c r="H31" i="8"/>
  <c r="L30" i="8"/>
  <c r="H30" i="8"/>
  <c r="L29" i="8"/>
  <c r="H29" i="8"/>
  <c r="L28" i="8"/>
  <c r="H28" i="8"/>
  <c r="L27" i="8"/>
  <c r="H27" i="8"/>
  <c r="L26" i="8"/>
  <c r="H26" i="8"/>
  <c r="L25" i="8"/>
  <c r="H25" i="8"/>
  <c r="L24" i="8"/>
  <c r="H24" i="8"/>
  <c r="L23" i="8"/>
  <c r="H23" i="8"/>
  <c r="L22" i="8"/>
  <c r="H22" i="8"/>
  <c r="L21" i="8"/>
  <c r="H21" i="8"/>
  <c r="L20" i="8"/>
  <c r="H20" i="8"/>
  <c r="L19" i="8"/>
  <c r="H19" i="8"/>
  <c r="L18" i="8"/>
  <c r="H18" i="8"/>
  <c r="L17" i="8"/>
  <c r="H17" i="8"/>
  <c r="L16" i="8"/>
  <c r="H16" i="8"/>
  <c r="L15" i="8"/>
  <c r="H15" i="8"/>
  <c r="L14" i="8"/>
  <c r="H14" i="8"/>
  <c r="L13" i="8"/>
  <c r="H13" i="8"/>
  <c r="L12" i="8"/>
  <c r="H12" i="8"/>
  <c r="L11" i="8"/>
  <c r="H11" i="8"/>
  <c r="L10" i="8"/>
  <c r="H10" i="8"/>
  <c r="L9" i="8"/>
  <c r="H9" i="8"/>
  <c r="L8" i="8"/>
  <c r="H8" i="8"/>
  <c r="L7" i="8"/>
  <c r="H7" i="8"/>
  <c r="L6" i="8"/>
  <c r="H6" i="8"/>
  <c r="L5" i="8"/>
  <c r="H5" i="8"/>
  <c r="L4" i="8"/>
  <c r="H4" i="8"/>
  <c r="O67" i="7"/>
  <c r="K67" i="7"/>
  <c r="A67" i="7"/>
  <c r="O66" i="7"/>
  <c r="K66" i="7"/>
  <c r="A66" i="7"/>
  <c r="O65" i="7"/>
  <c r="K65" i="7"/>
  <c r="A65" i="7"/>
  <c r="O64" i="7"/>
  <c r="K64" i="7"/>
  <c r="A64" i="7"/>
  <c r="O63" i="7"/>
  <c r="K63" i="7"/>
  <c r="A63" i="7"/>
  <c r="O62" i="7"/>
  <c r="K62" i="7"/>
  <c r="A62" i="7"/>
  <c r="O61" i="7"/>
  <c r="K61" i="7"/>
  <c r="A61" i="7"/>
  <c r="O60" i="7"/>
  <c r="K60" i="7"/>
  <c r="A60" i="7"/>
  <c r="O59" i="7"/>
  <c r="K59" i="7"/>
  <c r="A59" i="7"/>
  <c r="O58" i="7"/>
  <c r="K58" i="7"/>
  <c r="A58" i="7"/>
  <c r="O57" i="7"/>
  <c r="K57" i="7"/>
  <c r="A57" i="7"/>
  <c r="O56" i="7"/>
  <c r="K56" i="7"/>
  <c r="A56" i="7"/>
  <c r="O55" i="7"/>
  <c r="K55" i="7"/>
  <c r="A55" i="7"/>
  <c r="O54" i="7"/>
  <c r="K54" i="7"/>
  <c r="A54" i="7"/>
  <c r="O53" i="7"/>
  <c r="K53" i="7"/>
  <c r="A53" i="7"/>
  <c r="O52" i="7"/>
  <c r="K52" i="7"/>
  <c r="A52" i="7"/>
  <c r="O51" i="7"/>
  <c r="K51" i="7"/>
  <c r="A51" i="7"/>
  <c r="O50" i="7"/>
  <c r="K50" i="7"/>
  <c r="A50" i="7"/>
  <c r="O49" i="7"/>
  <c r="K49" i="7"/>
  <c r="A49" i="7"/>
  <c r="O48" i="7"/>
  <c r="K48" i="7"/>
  <c r="A48" i="7"/>
  <c r="O47" i="7"/>
  <c r="K47" i="7"/>
  <c r="A47" i="7"/>
  <c r="O46" i="7"/>
  <c r="K46" i="7"/>
  <c r="A46" i="7"/>
  <c r="O45" i="7"/>
  <c r="K45" i="7"/>
  <c r="A45" i="7"/>
  <c r="O44" i="7"/>
  <c r="K44" i="7"/>
  <c r="A44" i="7"/>
  <c r="O43" i="7"/>
  <c r="K43" i="7"/>
  <c r="A43" i="7"/>
  <c r="O42" i="7"/>
  <c r="K42" i="7"/>
  <c r="A42" i="7"/>
  <c r="O41" i="7"/>
  <c r="K41" i="7"/>
  <c r="A41" i="7"/>
  <c r="O40" i="7"/>
  <c r="K40" i="7"/>
  <c r="A40" i="7"/>
  <c r="O39" i="7"/>
  <c r="K39" i="7"/>
  <c r="A39" i="7"/>
  <c r="O38" i="7"/>
  <c r="K38" i="7"/>
  <c r="A38" i="7"/>
  <c r="O37" i="7"/>
  <c r="K37" i="7"/>
  <c r="A37" i="7"/>
  <c r="O36" i="7"/>
  <c r="K36" i="7"/>
  <c r="A36" i="7"/>
  <c r="O35" i="7"/>
  <c r="K35" i="7"/>
  <c r="A35" i="7"/>
  <c r="O34" i="7"/>
  <c r="K34" i="7"/>
  <c r="A34" i="7"/>
  <c r="O33" i="7"/>
  <c r="K33" i="7"/>
  <c r="A33" i="7"/>
  <c r="O32" i="7"/>
  <c r="K32" i="7"/>
  <c r="A32" i="7"/>
  <c r="O31" i="7"/>
  <c r="K31" i="7"/>
  <c r="A31" i="7"/>
  <c r="O30" i="7"/>
  <c r="K30" i="7"/>
  <c r="A30" i="7"/>
  <c r="O29" i="7"/>
  <c r="K29" i="7"/>
  <c r="A29" i="7"/>
  <c r="O28" i="7"/>
  <c r="K28" i="7"/>
  <c r="A28" i="7"/>
  <c r="O27" i="7"/>
  <c r="K27" i="7"/>
  <c r="A27" i="7"/>
  <c r="O26" i="7"/>
  <c r="K26" i="7"/>
  <c r="A26" i="7"/>
  <c r="O25" i="7"/>
  <c r="K25" i="7"/>
  <c r="A25" i="7"/>
  <c r="O24" i="7"/>
  <c r="K24" i="7"/>
  <c r="A24" i="7"/>
  <c r="O23" i="7"/>
  <c r="K23" i="7"/>
  <c r="A23" i="7"/>
  <c r="O22" i="7"/>
  <c r="K22" i="7"/>
  <c r="A22" i="7"/>
  <c r="O21" i="7"/>
  <c r="K21" i="7"/>
  <c r="A21" i="7"/>
  <c r="O20" i="7"/>
  <c r="K20" i="7"/>
  <c r="A20" i="7"/>
  <c r="O19" i="7"/>
  <c r="K19" i="7"/>
  <c r="A19" i="7"/>
  <c r="O18" i="7"/>
  <c r="K18" i="7"/>
  <c r="A18" i="7"/>
  <c r="O17" i="7"/>
  <c r="K17" i="7"/>
  <c r="A17" i="7"/>
  <c r="O16" i="7"/>
  <c r="K16" i="7"/>
  <c r="A16" i="7"/>
  <c r="O15" i="7"/>
  <c r="K15" i="7"/>
  <c r="A15" i="7"/>
  <c r="O14" i="7"/>
  <c r="K14" i="7"/>
  <c r="A14" i="7"/>
  <c r="O13" i="7"/>
  <c r="K13" i="7"/>
  <c r="A13" i="7"/>
  <c r="O12" i="7"/>
  <c r="K12" i="7"/>
  <c r="A12" i="7"/>
  <c r="O11" i="7"/>
  <c r="K11" i="7"/>
  <c r="A11" i="7"/>
  <c r="O10" i="7"/>
  <c r="K10" i="7"/>
  <c r="A10" i="7"/>
  <c r="O9" i="7"/>
  <c r="K9" i="7"/>
  <c r="A9" i="7"/>
  <c r="O8" i="7"/>
  <c r="K8" i="7"/>
  <c r="A8" i="7"/>
  <c r="O7" i="7"/>
  <c r="K7" i="7"/>
  <c r="A7" i="7"/>
  <c r="O6" i="7"/>
  <c r="K6" i="7"/>
  <c r="A6" i="7"/>
  <c r="O5" i="7"/>
  <c r="K5" i="7"/>
  <c r="A5" i="7"/>
  <c r="O4" i="7"/>
  <c r="K4" i="7"/>
  <c r="A4" i="7"/>
  <c r="O3" i="7"/>
  <c r="K3" i="7"/>
  <c r="A3" i="7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3" i="4"/>
  <c r="N4" i="8" s="1"/>
  <c r="C3" i="2"/>
  <c r="C4" i="2" s="1"/>
  <c r="C15" i="2" s="1"/>
  <c r="K4" i="3"/>
  <c r="K5" i="3"/>
  <c r="K6" i="3"/>
  <c r="K7" i="3"/>
  <c r="K8" i="3"/>
  <c r="K9" i="3"/>
  <c r="K10" i="3"/>
  <c r="K11" i="3"/>
  <c r="K12" i="3"/>
  <c r="K13" i="3"/>
  <c r="K14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K57" i="1"/>
  <c r="J3" i="3" l="1"/>
  <c r="L3" i="3" s="1"/>
  <c r="Q4" i="7"/>
  <c r="S4" i="7" s="1"/>
  <c r="O4" i="3" s="1"/>
  <c r="Q12" i="7"/>
  <c r="S12" i="7" s="1"/>
  <c r="O12" i="3" s="1"/>
  <c r="Q20" i="7"/>
  <c r="S20" i="7" s="1"/>
  <c r="O20" i="3" s="1"/>
  <c r="Q28" i="7"/>
  <c r="S28" i="7" s="1"/>
  <c r="O28" i="3" s="1"/>
  <c r="Q36" i="7"/>
  <c r="S36" i="7" s="1"/>
  <c r="O36" i="3" s="1"/>
  <c r="Q44" i="7"/>
  <c r="S44" i="7" s="1"/>
  <c r="O44" i="3" s="1"/>
  <c r="Q52" i="7"/>
  <c r="S52" i="7" s="1"/>
  <c r="O52" i="3" s="1"/>
  <c r="Q60" i="7"/>
  <c r="S60" i="7" s="1"/>
  <c r="O60" i="3" s="1"/>
  <c r="M65" i="3"/>
  <c r="M57" i="3"/>
  <c r="M49" i="3"/>
  <c r="M41" i="3"/>
  <c r="M33" i="3"/>
  <c r="M25" i="3"/>
  <c r="M17" i="3"/>
  <c r="M9" i="3"/>
  <c r="N67" i="8"/>
  <c r="N59" i="8"/>
  <c r="N51" i="8"/>
  <c r="N43" i="8"/>
  <c r="R43" i="8" s="1"/>
  <c r="N35" i="8"/>
  <c r="R35" i="8" s="1"/>
  <c r="N27" i="8"/>
  <c r="R27" i="8" s="1"/>
  <c r="N19" i="8"/>
  <c r="N11" i="8"/>
  <c r="Q7" i="7"/>
  <c r="S7" i="7" s="1"/>
  <c r="O7" i="3" s="1"/>
  <c r="Q15" i="7"/>
  <c r="S15" i="7" s="1"/>
  <c r="O15" i="3" s="1"/>
  <c r="Q23" i="7"/>
  <c r="S23" i="7" s="1"/>
  <c r="O23" i="3" s="1"/>
  <c r="Q31" i="7"/>
  <c r="S31" i="7" s="1"/>
  <c r="O31" i="3" s="1"/>
  <c r="Q39" i="7"/>
  <c r="S39" i="7" s="1"/>
  <c r="O39" i="3" s="1"/>
  <c r="Q47" i="7"/>
  <c r="S47" i="7" s="1"/>
  <c r="O47" i="3" s="1"/>
  <c r="Q55" i="7"/>
  <c r="S55" i="7" s="1"/>
  <c r="O55" i="3" s="1"/>
  <c r="Q63" i="7"/>
  <c r="S63" i="7" s="1"/>
  <c r="O63" i="3" s="1"/>
  <c r="M64" i="3"/>
  <c r="U64" i="3" s="1"/>
  <c r="M56" i="3"/>
  <c r="U56" i="3" s="1"/>
  <c r="M48" i="3"/>
  <c r="U48" i="3" s="1"/>
  <c r="M40" i="3"/>
  <c r="U40" i="3" s="1"/>
  <c r="M32" i="3"/>
  <c r="U32" i="3" s="1"/>
  <c r="M24" i="3"/>
  <c r="U24" i="3" s="1"/>
  <c r="M16" i="3"/>
  <c r="U16" i="3" s="1"/>
  <c r="M8" i="3"/>
  <c r="N66" i="8"/>
  <c r="N58" i="8"/>
  <c r="N50" i="8"/>
  <c r="R50" i="8" s="1"/>
  <c r="N42" i="8"/>
  <c r="N34" i="8"/>
  <c r="R34" i="8" s="1"/>
  <c r="N26" i="8"/>
  <c r="R26" i="8" s="1"/>
  <c r="N18" i="8"/>
  <c r="R18" i="8" s="1"/>
  <c r="N10" i="8"/>
  <c r="R10" i="8" s="1"/>
  <c r="Q10" i="7"/>
  <c r="S10" i="7" s="1"/>
  <c r="O10" i="3" s="1"/>
  <c r="Q18" i="7"/>
  <c r="S18" i="7" s="1"/>
  <c r="O18" i="3" s="1"/>
  <c r="Q26" i="7"/>
  <c r="S26" i="7" s="1"/>
  <c r="O26" i="3" s="1"/>
  <c r="Q34" i="7"/>
  <c r="S34" i="7" s="1"/>
  <c r="O34" i="3" s="1"/>
  <c r="Q42" i="7"/>
  <c r="S42" i="7" s="1"/>
  <c r="O42" i="3" s="1"/>
  <c r="Q50" i="7"/>
  <c r="S50" i="7" s="1"/>
  <c r="O50" i="3" s="1"/>
  <c r="Q58" i="7"/>
  <c r="S58" i="7" s="1"/>
  <c r="O58" i="3" s="1"/>
  <c r="Q66" i="7"/>
  <c r="S66" i="7" s="1"/>
  <c r="O66" i="3" s="1"/>
  <c r="M63" i="3"/>
  <c r="U63" i="3" s="1"/>
  <c r="M55" i="3"/>
  <c r="M47" i="3"/>
  <c r="U47" i="3" s="1"/>
  <c r="M39" i="3"/>
  <c r="U39" i="3" s="1"/>
  <c r="M31" i="3"/>
  <c r="U31" i="3" s="1"/>
  <c r="M23" i="3"/>
  <c r="M15" i="3"/>
  <c r="M7" i="3"/>
  <c r="U7" i="3" s="1"/>
  <c r="N65" i="8"/>
  <c r="R65" i="8" s="1"/>
  <c r="N57" i="8"/>
  <c r="N49" i="8"/>
  <c r="N41" i="8"/>
  <c r="R41" i="8" s="1"/>
  <c r="N33" i="8"/>
  <c r="R33" i="8" s="1"/>
  <c r="N25" i="8"/>
  <c r="R25" i="8" s="1"/>
  <c r="N17" i="8"/>
  <c r="N9" i="8"/>
  <c r="R9" i="8" s="1"/>
  <c r="Q5" i="7"/>
  <c r="S5" i="7" s="1"/>
  <c r="O5" i="3" s="1"/>
  <c r="Q13" i="7"/>
  <c r="S13" i="7" s="1"/>
  <c r="O13" i="3" s="1"/>
  <c r="Q21" i="7"/>
  <c r="S21" i="7" s="1"/>
  <c r="O21" i="3" s="1"/>
  <c r="Q29" i="7"/>
  <c r="S29" i="7" s="1"/>
  <c r="O29" i="3" s="1"/>
  <c r="Q37" i="7"/>
  <c r="S37" i="7" s="1"/>
  <c r="O37" i="3" s="1"/>
  <c r="Q45" i="7"/>
  <c r="S45" i="7" s="1"/>
  <c r="O45" i="3" s="1"/>
  <c r="Q53" i="7"/>
  <c r="S53" i="7" s="1"/>
  <c r="O53" i="3" s="1"/>
  <c r="Q61" i="7"/>
  <c r="S61" i="7" s="1"/>
  <c r="O61" i="3" s="1"/>
  <c r="M62" i="3"/>
  <c r="U62" i="3" s="1"/>
  <c r="M54" i="3"/>
  <c r="U54" i="3" s="1"/>
  <c r="M46" i="3"/>
  <c r="U46" i="3" s="1"/>
  <c r="M38" i="3"/>
  <c r="M30" i="3"/>
  <c r="U30" i="3" s="1"/>
  <c r="M22" i="3"/>
  <c r="U22" i="3" s="1"/>
  <c r="M14" i="3"/>
  <c r="U14" i="3" s="1"/>
  <c r="M6" i="3"/>
  <c r="U6" i="3" s="1"/>
  <c r="N64" i="8"/>
  <c r="R64" i="8" s="1"/>
  <c r="N56" i="8"/>
  <c r="N48" i="8"/>
  <c r="R48" i="8" s="1"/>
  <c r="N40" i="8"/>
  <c r="R40" i="8" s="1"/>
  <c r="N32" i="8"/>
  <c r="R32" i="8" s="1"/>
  <c r="N24" i="8"/>
  <c r="R24" i="8" s="1"/>
  <c r="N16" i="8"/>
  <c r="N8" i="8"/>
  <c r="R8" i="8" s="1"/>
  <c r="Q8" i="7"/>
  <c r="S8" i="7" s="1"/>
  <c r="O8" i="3" s="1"/>
  <c r="Q16" i="7"/>
  <c r="S16" i="7" s="1"/>
  <c r="O16" i="3" s="1"/>
  <c r="Q24" i="7"/>
  <c r="S24" i="7" s="1"/>
  <c r="O24" i="3" s="1"/>
  <c r="Q32" i="7"/>
  <c r="S32" i="7" s="1"/>
  <c r="O32" i="3" s="1"/>
  <c r="Q40" i="7"/>
  <c r="S40" i="7" s="1"/>
  <c r="O40" i="3" s="1"/>
  <c r="Q48" i="7"/>
  <c r="S48" i="7" s="1"/>
  <c r="O48" i="3" s="1"/>
  <c r="Q56" i="7"/>
  <c r="S56" i="7" s="1"/>
  <c r="O56" i="3" s="1"/>
  <c r="Q64" i="7"/>
  <c r="S64" i="7" s="1"/>
  <c r="O64" i="3" s="1"/>
  <c r="M61" i="3"/>
  <c r="M53" i="3"/>
  <c r="M45" i="3"/>
  <c r="M37" i="3"/>
  <c r="M29" i="3"/>
  <c r="U29" i="3" s="1"/>
  <c r="M21" i="3"/>
  <c r="U21" i="3" s="1"/>
  <c r="M13" i="3"/>
  <c r="U13" i="3" s="1"/>
  <c r="M5" i="3"/>
  <c r="N63" i="8"/>
  <c r="R63" i="8" s="1"/>
  <c r="N55" i="8"/>
  <c r="N47" i="8"/>
  <c r="R47" i="8" s="1"/>
  <c r="N39" i="8"/>
  <c r="R39" i="8" s="1"/>
  <c r="N31" i="8"/>
  <c r="R31" i="8" s="1"/>
  <c r="N23" i="8"/>
  <c r="N15" i="8"/>
  <c r="N7" i="8"/>
  <c r="Q3" i="7"/>
  <c r="S3" i="7" s="1"/>
  <c r="O3" i="3" s="1"/>
  <c r="Q11" i="7"/>
  <c r="S11" i="7" s="1"/>
  <c r="O11" i="3" s="1"/>
  <c r="Q19" i="7"/>
  <c r="S19" i="7" s="1"/>
  <c r="O19" i="3" s="1"/>
  <c r="Q27" i="7"/>
  <c r="S27" i="7" s="1"/>
  <c r="O27" i="3" s="1"/>
  <c r="Q35" i="7"/>
  <c r="S35" i="7" s="1"/>
  <c r="O35" i="3" s="1"/>
  <c r="Q43" i="7"/>
  <c r="S43" i="7" s="1"/>
  <c r="O43" i="3" s="1"/>
  <c r="Q51" i="7"/>
  <c r="S51" i="7" s="1"/>
  <c r="O51" i="3" s="1"/>
  <c r="Q59" i="7"/>
  <c r="S59" i="7" s="1"/>
  <c r="O59" i="3" s="1"/>
  <c r="Q67" i="7"/>
  <c r="S67" i="7" s="1"/>
  <c r="O67" i="3" s="1"/>
  <c r="M60" i="3"/>
  <c r="M52" i="3"/>
  <c r="U52" i="3" s="1"/>
  <c r="M44" i="3"/>
  <c r="M36" i="3"/>
  <c r="M28" i="3"/>
  <c r="M20" i="3"/>
  <c r="U20" i="3" s="1"/>
  <c r="M12" i="3"/>
  <c r="M4" i="3"/>
  <c r="N62" i="8"/>
  <c r="N54" i="8"/>
  <c r="N46" i="8"/>
  <c r="R46" i="8" s="1"/>
  <c r="N38" i="8"/>
  <c r="N30" i="8"/>
  <c r="R30" i="8" s="1"/>
  <c r="N22" i="8"/>
  <c r="R22" i="8" s="1"/>
  <c r="N14" i="8"/>
  <c r="R14" i="8" s="1"/>
  <c r="N6" i="8"/>
  <c r="Q6" i="7"/>
  <c r="S6" i="7" s="1"/>
  <c r="O6" i="3" s="1"/>
  <c r="Q14" i="7"/>
  <c r="S14" i="7" s="1"/>
  <c r="O14" i="3" s="1"/>
  <c r="Q22" i="7"/>
  <c r="S22" i="7" s="1"/>
  <c r="O22" i="3" s="1"/>
  <c r="Q30" i="7"/>
  <c r="S30" i="7" s="1"/>
  <c r="O30" i="3" s="1"/>
  <c r="Q38" i="7"/>
  <c r="S38" i="7" s="1"/>
  <c r="O38" i="3" s="1"/>
  <c r="Q46" i="7"/>
  <c r="S46" i="7" s="1"/>
  <c r="O46" i="3" s="1"/>
  <c r="Q54" i="7"/>
  <c r="S54" i="7" s="1"/>
  <c r="O54" i="3" s="1"/>
  <c r="Q62" i="7"/>
  <c r="S62" i="7" s="1"/>
  <c r="O62" i="3" s="1"/>
  <c r="M67" i="3"/>
  <c r="U67" i="3" s="1"/>
  <c r="M59" i="3"/>
  <c r="U59" i="3" s="1"/>
  <c r="M51" i="3"/>
  <c r="U51" i="3" s="1"/>
  <c r="M43" i="3"/>
  <c r="U43" i="3" s="1"/>
  <c r="M35" i="3"/>
  <c r="U35" i="3" s="1"/>
  <c r="M27" i="3"/>
  <c r="U27" i="3" s="1"/>
  <c r="M19" i="3"/>
  <c r="U19" i="3" s="1"/>
  <c r="M11" i="3"/>
  <c r="U11" i="3" s="1"/>
  <c r="M3" i="3"/>
  <c r="N61" i="8"/>
  <c r="N53" i="8"/>
  <c r="N45" i="8"/>
  <c r="N37" i="8"/>
  <c r="N29" i="8"/>
  <c r="R29" i="8" s="1"/>
  <c r="N21" i="8"/>
  <c r="R21" i="8" s="1"/>
  <c r="N13" i="8"/>
  <c r="R13" i="8" s="1"/>
  <c r="N5" i="8"/>
  <c r="Q9" i="7"/>
  <c r="S9" i="7" s="1"/>
  <c r="O9" i="3" s="1"/>
  <c r="Q17" i="7"/>
  <c r="S17" i="7" s="1"/>
  <c r="O17" i="3" s="1"/>
  <c r="Q25" i="7"/>
  <c r="S25" i="7" s="1"/>
  <c r="O25" i="3" s="1"/>
  <c r="Q33" i="7"/>
  <c r="S33" i="7" s="1"/>
  <c r="O33" i="3" s="1"/>
  <c r="Q41" i="7"/>
  <c r="S41" i="7" s="1"/>
  <c r="O41" i="3" s="1"/>
  <c r="Q49" i="7"/>
  <c r="S49" i="7" s="1"/>
  <c r="O49" i="3" s="1"/>
  <c r="Q57" i="7"/>
  <c r="S57" i="7" s="1"/>
  <c r="O57" i="3" s="1"/>
  <c r="Q65" i="7"/>
  <c r="S65" i="7" s="1"/>
  <c r="O65" i="3" s="1"/>
  <c r="M66" i="3"/>
  <c r="M58" i="3"/>
  <c r="M50" i="3"/>
  <c r="U50" i="3" s="1"/>
  <c r="M42" i="3"/>
  <c r="M34" i="3"/>
  <c r="U34" i="3" s="1"/>
  <c r="M26" i="3"/>
  <c r="U26" i="3" s="1"/>
  <c r="M18" i="3"/>
  <c r="U18" i="3" s="1"/>
  <c r="M10" i="3"/>
  <c r="U10" i="3" s="1"/>
  <c r="N3" i="8"/>
  <c r="R3" i="8" s="1"/>
  <c r="N60" i="8"/>
  <c r="R60" i="8" s="1"/>
  <c r="N52" i="8"/>
  <c r="R52" i="8" s="1"/>
  <c r="N44" i="8"/>
  <c r="N36" i="8"/>
  <c r="N28" i="8"/>
  <c r="N20" i="8"/>
  <c r="R20" i="8" s="1"/>
  <c r="N12" i="8"/>
  <c r="Q44" i="8"/>
  <c r="T44" i="3" s="1"/>
  <c r="Q38" i="8"/>
  <c r="T38" i="3" s="1"/>
  <c r="Q4" i="8"/>
  <c r="T4" i="3" s="1"/>
  <c r="S3" i="3"/>
  <c r="Q37" i="8"/>
  <c r="T37" i="3" s="1"/>
  <c r="U8" i="3"/>
  <c r="S60" i="8"/>
  <c r="V60" i="3" s="1"/>
  <c r="R42" i="8"/>
  <c r="U41" i="3"/>
  <c r="R54" i="8"/>
  <c r="R62" i="8"/>
  <c r="S3" i="8"/>
  <c r="V3" i="3" s="1"/>
  <c r="R57" i="8"/>
  <c r="R49" i="8"/>
  <c r="R17" i="8"/>
  <c r="R56" i="8"/>
  <c r="R16" i="8"/>
  <c r="R15" i="8"/>
  <c r="R7" i="8"/>
  <c r="R6" i="8"/>
  <c r="L68" i="8"/>
  <c r="R67" i="8"/>
  <c r="R59" i="8"/>
  <c r="R51" i="8"/>
  <c r="R19" i="8"/>
  <c r="R11" i="8"/>
  <c r="S42" i="8"/>
  <c r="V42" i="3" s="1"/>
  <c r="T42" i="3"/>
  <c r="S67" i="8"/>
  <c r="S59" i="8"/>
  <c r="V59" i="3" s="1"/>
  <c r="S51" i="8"/>
  <c r="V51" i="3" s="1"/>
  <c r="S43" i="8"/>
  <c r="V43" i="3" s="1"/>
  <c r="S35" i="8"/>
  <c r="V35" i="3" s="1"/>
  <c r="S27" i="8"/>
  <c r="V27" i="3" s="1"/>
  <c r="S19" i="8"/>
  <c r="V19" i="3" s="1"/>
  <c r="S11" i="8"/>
  <c r="V11" i="3" s="1"/>
  <c r="S50" i="8"/>
  <c r="V50" i="3" s="1"/>
  <c r="S34" i="8"/>
  <c r="V34" i="3" s="1"/>
  <c r="S26" i="8"/>
  <c r="V26" i="3" s="1"/>
  <c r="S18" i="8"/>
  <c r="V18" i="3" s="1"/>
  <c r="S10" i="8"/>
  <c r="V10" i="3" s="1"/>
  <c r="S42" i="3"/>
  <c r="S65" i="8"/>
  <c r="V65" i="3" s="1"/>
  <c r="S57" i="8"/>
  <c r="V57" i="3" s="1"/>
  <c r="S49" i="8"/>
  <c r="V49" i="3" s="1"/>
  <c r="S41" i="8"/>
  <c r="V41" i="3" s="1"/>
  <c r="S33" i="8"/>
  <c r="V33" i="3" s="1"/>
  <c r="S25" i="8"/>
  <c r="V25" i="3" s="1"/>
  <c r="S17" i="8"/>
  <c r="V17" i="3" s="1"/>
  <c r="S9" i="8"/>
  <c r="V9" i="3" s="1"/>
  <c r="S21" i="3"/>
  <c r="S64" i="8"/>
  <c r="V64" i="3" s="1"/>
  <c r="S56" i="8"/>
  <c r="V56" i="3" s="1"/>
  <c r="S48" i="8"/>
  <c r="V48" i="3" s="1"/>
  <c r="S40" i="8"/>
  <c r="V40" i="3" s="1"/>
  <c r="S32" i="8"/>
  <c r="V32" i="3" s="1"/>
  <c r="S24" i="8"/>
  <c r="V24" i="3" s="1"/>
  <c r="S16" i="8"/>
  <c r="V16" i="3" s="1"/>
  <c r="S8" i="8"/>
  <c r="V8" i="3" s="1"/>
  <c r="Q66" i="8"/>
  <c r="S63" i="8"/>
  <c r="V63" i="3" s="1"/>
  <c r="S47" i="8"/>
  <c r="V47" i="3" s="1"/>
  <c r="S39" i="8"/>
  <c r="V39" i="3" s="1"/>
  <c r="S31" i="8"/>
  <c r="V31" i="3" s="1"/>
  <c r="S15" i="8"/>
  <c r="V15" i="3" s="1"/>
  <c r="S7" i="8"/>
  <c r="V7" i="3" s="1"/>
  <c r="Q58" i="8"/>
  <c r="R58" i="8" s="1"/>
  <c r="S62" i="8"/>
  <c r="V62" i="3" s="1"/>
  <c r="S54" i="8"/>
  <c r="V54" i="3" s="1"/>
  <c r="S46" i="8"/>
  <c r="V46" i="3" s="1"/>
  <c r="S30" i="8"/>
  <c r="V30" i="3" s="1"/>
  <c r="S22" i="8"/>
  <c r="V22" i="3" s="1"/>
  <c r="S14" i="8"/>
  <c r="V14" i="3" s="1"/>
  <c r="S6" i="8"/>
  <c r="V6" i="3" s="1"/>
  <c r="Q61" i="8"/>
  <c r="R61" i="8" s="1"/>
  <c r="S29" i="8"/>
  <c r="V29" i="3" s="1"/>
  <c r="S21" i="8"/>
  <c r="V21" i="3" s="1"/>
  <c r="S13" i="8"/>
  <c r="V13" i="3" s="1"/>
  <c r="S52" i="8"/>
  <c r="V52" i="3" s="1"/>
  <c r="S20" i="8"/>
  <c r="V20" i="3" s="1"/>
  <c r="T3" i="3"/>
  <c r="Q55" i="8"/>
  <c r="R55" i="8" s="1"/>
  <c r="S34" i="3"/>
  <c r="S13" i="3"/>
  <c r="Q53" i="8"/>
  <c r="S50" i="3"/>
  <c r="Q45" i="8"/>
  <c r="S47" i="3"/>
  <c r="S29" i="3"/>
  <c r="S8" i="3"/>
  <c r="Q5" i="8"/>
  <c r="S63" i="3"/>
  <c r="S24" i="3"/>
  <c r="Q23" i="8"/>
  <c r="S16" i="3"/>
  <c r="J64" i="7"/>
  <c r="L64" i="7" s="1"/>
  <c r="P64" i="7" s="1"/>
  <c r="J58" i="7"/>
  <c r="L58" i="7" s="1"/>
  <c r="M58" i="7" s="1"/>
  <c r="N58" i="7" s="1"/>
  <c r="J7" i="7"/>
  <c r="L7" i="7" s="1"/>
  <c r="M7" i="7" s="1"/>
  <c r="N7" i="7" s="1"/>
  <c r="G3" i="8"/>
  <c r="I3" i="8" s="1"/>
  <c r="U3" i="8" s="1"/>
  <c r="G67" i="8"/>
  <c r="I67" i="8" s="1"/>
  <c r="G65" i="8"/>
  <c r="I65" i="8" s="1"/>
  <c r="T65" i="8" s="1"/>
  <c r="G63" i="8"/>
  <c r="I63" i="8" s="1"/>
  <c r="J63" i="8" s="1"/>
  <c r="K63" i="8" s="1"/>
  <c r="G61" i="8"/>
  <c r="I61" i="8" s="1"/>
  <c r="G59" i="8"/>
  <c r="I59" i="8" s="1"/>
  <c r="G57" i="8"/>
  <c r="I57" i="8" s="1"/>
  <c r="G55" i="8"/>
  <c r="I55" i="8" s="1"/>
  <c r="J55" i="8" s="1"/>
  <c r="G53" i="8"/>
  <c r="I53" i="8" s="1"/>
  <c r="G51" i="8"/>
  <c r="I51" i="8" s="1"/>
  <c r="G49" i="8"/>
  <c r="I49" i="8" s="1"/>
  <c r="T49" i="8" s="1"/>
  <c r="U49" i="8" s="1"/>
  <c r="X49" i="3" s="1"/>
  <c r="G47" i="8"/>
  <c r="I47" i="8" s="1"/>
  <c r="T47" i="8" s="1"/>
  <c r="U47" i="8" s="1"/>
  <c r="X47" i="3" s="1"/>
  <c r="G45" i="8"/>
  <c r="I45" i="8" s="1"/>
  <c r="J45" i="8" s="1"/>
  <c r="K45" i="8" s="1"/>
  <c r="G43" i="8"/>
  <c r="I43" i="8" s="1"/>
  <c r="G41" i="8"/>
  <c r="I41" i="8" s="1"/>
  <c r="G39" i="8"/>
  <c r="I39" i="8" s="1"/>
  <c r="G37" i="8"/>
  <c r="I37" i="8" s="1"/>
  <c r="G35" i="8"/>
  <c r="I35" i="8" s="1"/>
  <c r="M35" i="8" s="1"/>
  <c r="G33" i="8"/>
  <c r="I33" i="8" s="1"/>
  <c r="G31" i="8"/>
  <c r="I31" i="8" s="1"/>
  <c r="J31" i="8" s="1"/>
  <c r="G29" i="8"/>
  <c r="I29" i="8" s="1"/>
  <c r="J29" i="8" s="1"/>
  <c r="K29" i="8" s="1"/>
  <c r="G27" i="8"/>
  <c r="I27" i="8" s="1"/>
  <c r="M27" i="8" s="1"/>
  <c r="G25" i="8"/>
  <c r="I25" i="8" s="1"/>
  <c r="J25" i="8" s="1"/>
  <c r="K25" i="8" s="1"/>
  <c r="G23" i="8"/>
  <c r="I23" i="8" s="1"/>
  <c r="G21" i="8"/>
  <c r="I21" i="8" s="1"/>
  <c r="G19" i="8"/>
  <c r="I19" i="8" s="1"/>
  <c r="G17" i="8"/>
  <c r="I17" i="8" s="1"/>
  <c r="G15" i="8"/>
  <c r="I15" i="8" s="1"/>
  <c r="G13" i="8"/>
  <c r="I13" i="8" s="1"/>
  <c r="G11" i="8"/>
  <c r="I11" i="8" s="1"/>
  <c r="M11" i="8" s="1"/>
  <c r="G9" i="8"/>
  <c r="I9" i="8" s="1"/>
  <c r="G7" i="8"/>
  <c r="I7" i="8" s="1"/>
  <c r="G5" i="8"/>
  <c r="I5" i="8" s="1"/>
  <c r="J5" i="8" s="1"/>
  <c r="J56" i="7"/>
  <c r="L56" i="7" s="1"/>
  <c r="J54" i="7"/>
  <c r="L54" i="7" s="1"/>
  <c r="J52" i="7"/>
  <c r="L52" i="7" s="1"/>
  <c r="J45" i="7"/>
  <c r="L45" i="7" s="1"/>
  <c r="J43" i="7"/>
  <c r="L43" i="7" s="1"/>
  <c r="P43" i="7" s="1"/>
  <c r="J38" i="7"/>
  <c r="L38" i="7" s="1"/>
  <c r="M38" i="7" s="1"/>
  <c r="J36" i="7"/>
  <c r="L36" i="7" s="1"/>
  <c r="P36" i="7" s="1"/>
  <c r="J29" i="7"/>
  <c r="L29" i="7" s="1"/>
  <c r="P29" i="7" s="1"/>
  <c r="J27" i="7"/>
  <c r="L27" i="7" s="1"/>
  <c r="M27" i="7" s="1"/>
  <c r="N27" i="7" s="1"/>
  <c r="J22" i="7"/>
  <c r="L22" i="7" s="1"/>
  <c r="M22" i="7" s="1"/>
  <c r="J20" i="7"/>
  <c r="L20" i="7" s="1"/>
  <c r="J5" i="7"/>
  <c r="L5" i="7" s="1"/>
  <c r="J3" i="7"/>
  <c r="L3" i="7" s="1"/>
  <c r="M3" i="7" s="1"/>
  <c r="N3" i="7" s="1"/>
  <c r="J18" i="7"/>
  <c r="L18" i="7" s="1"/>
  <c r="M18" i="7" s="1"/>
  <c r="J16" i="7"/>
  <c r="L16" i="7" s="1"/>
  <c r="J50" i="7"/>
  <c r="L50" i="7" s="1"/>
  <c r="M50" i="7" s="1"/>
  <c r="N50" i="7" s="1"/>
  <c r="J48" i="7"/>
  <c r="L48" i="7" s="1"/>
  <c r="J41" i="7"/>
  <c r="L41" i="7" s="1"/>
  <c r="M41" i="7" s="1"/>
  <c r="N41" i="7" s="1"/>
  <c r="J39" i="7"/>
  <c r="L39" i="7" s="1"/>
  <c r="P39" i="7" s="1"/>
  <c r="J34" i="7"/>
  <c r="L34" i="7" s="1"/>
  <c r="M34" i="7" s="1"/>
  <c r="N34" i="7" s="1"/>
  <c r="J32" i="7"/>
  <c r="L32" i="7" s="1"/>
  <c r="J25" i="7"/>
  <c r="L25" i="7" s="1"/>
  <c r="J23" i="7"/>
  <c r="L23" i="7" s="1"/>
  <c r="P23" i="7" s="1"/>
  <c r="J14" i="7"/>
  <c r="L14" i="7" s="1"/>
  <c r="M14" i="7" s="1"/>
  <c r="J12" i="7"/>
  <c r="L12" i="7" s="1"/>
  <c r="P12" i="7" s="1"/>
  <c r="J67" i="7"/>
  <c r="L67" i="7" s="1"/>
  <c r="M67" i="7" s="1"/>
  <c r="N67" i="7" s="1"/>
  <c r="J65" i="7"/>
  <c r="L65" i="7" s="1"/>
  <c r="M65" i="7" s="1"/>
  <c r="N65" i="7" s="1"/>
  <c r="J63" i="7"/>
  <c r="L63" i="7" s="1"/>
  <c r="P63" i="7" s="1"/>
  <c r="J61" i="7"/>
  <c r="L61" i="7" s="1"/>
  <c r="M61" i="7" s="1"/>
  <c r="N61" i="7" s="1"/>
  <c r="J59" i="7"/>
  <c r="L59" i="7" s="1"/>
  <c r="P59" i="7" s="1"/>
  <c r="J10" i="7"/>
  <c r="L10" i="7" s="1"/>
  <c r="M10" i="7" s="1"/>
  <c r="J8" i="7"/>
  <c r="L8" i="7" s="1"/>
  <c r="J17" i="7"/>
  <c r="L17" i="7" s="1"/>
  <c r="J15" i="7"/>
  <c r="L15" i="7" s="1"/>
  <c r="P15" i="7" s="1"/>
  <c r="J49" i="7"/>
  <c r="L49" i="7" s="1"/>
  <c r="M49" i="7" s="1"/>
  <c r="N49" i="7" s="1"/>
  <c r="J47" i="7"/>
  <c r="L47" i="7" s="1"/>
  <c r="M47" i="7" s="1"/>
  <c r="J42" i="7"/>
  <c r="L42" i="7" s="1"/>
  <c r="M42" i="7" s="1"/>
  <c r="N42" i="7" s="1"/>
  <c r="J40" i="7"/>
  <c r="L40" i="7" s="1"/>
  <c r="J33" i="7"/>
  <c r="J31" i="7"/>
  <c r="L31" i="7" s="1"/>
  <c r="P31" i="7" s="1"/>
  <c r="J26" i="7"/>
  <c r="L26" i="7" s="1"/>
  <c r="M26" i="7" s="1"/>
  <c r="N26" i="7" s="1"/>
  <c r="J24" i="7"/>
  <c r="L24" i="7" s="1"/>
  <c r="J11" i="7"/>
  <c r="L11" i="7" s="1"/>
  <c r="J66" i="7"/>
  <c r="L66" i="7" s="1"/>
  <c r="M66" i="7" s="1"/>
  <c r="J62" i="7"/>
  <c r="L62" i="7" s="1"/>
  <c r="J60" i="7"/>
  <c r="L60" i="7" s="1"/>
  <c r="J9" i="7"/>
  <c r="G66" i="8"/>
  <c r="I66" i="8" s="1"/>
  <c r="M66" i="8" s="1"/>
  <c r="G64" i="8"/>
  <c r="I64" i="8" s="1"/>
  <c r="M64" i="8" s="1"/>
  <c r="G62" i="8"/>
  <c r="I62" i="8" s="1"/>
  <c r="G60" i="8"/>
  <c r="I60" i="8" s="1"/>
  <c r="M60" i="8" s="1"/>
  <c r="O60" i="8" s="1"/>
  <c r="G58" i="8"/>
  <c r="I58" i="8" s="1"/>
  <c r="J58" i="8" s="1"/>
  <c r="K58" i="8" s="1"/>
  <c r="G56" i="8"/>
  <c r="I56" i="8" s="1"/>
  <c r="T56" i="8" s="1"/>
  <c r="U56" i="8" s="1"/>
  <c r="X56" i="3" s="1"/>
  <c r="G54" i="8"/>
  <c r="I54" i="8" s="1"/>
  <c r="J54" i="8" s="1"/>
  <c r="K54" i="8" s="1"/>
  <c r="G52" i="8"/>
  <c r="I52" i="8" s="1"/>
  <c r="T52" i="8" s="1"/>
  <c r="U52" i="8" s="1"/>
  <c r="X52" i="3" s="1"/>
  <c r="G50" i="8"/>
  <c r="I50" i="8" s="1"/>
  <c r="T50" i="8" s="1"/>
  <c r="U50" i="8" s="1"/>
  <c r="X50" i="3" s="1"/>
  <c r="G48" i="8"/>
  <c r="I48" i="8" s="1"/>
  <c r="T48" i="8" s="1"/>
  <c r="U48" i="8" s="1"/>
  <c r="X48" i="3" s="1"/>
  <c r="G46" i="8"/>
  <c r="I46" i="8" s="1"/>
  <c r="M46" i="8" s="1"/>
  <c r="G44" i="8"/>
  <c r="I44" i="8" s="1"/>
  <c r="M44" i="8" s="1"/>
  <c r="G42" i="8"/>
  <c r="I42" i="8" s="1"/>
  <c r="G40" i="8"/>
  <c r="I40" i="8" s="1"/>
  <c r="T40" i="8" s="1"/>
  <c r="G38" i="8"/>
  <c r="I38" i="8" s="1"/>
  <c r="G36" i="8"/>
  <c r="I36" i="8" s="1"/>
  <c r="G34" i="8"/>
  <c r="I34" i="8" s="1"/>
  <c r="T34" i="8" s="1"/>
  <c r="U34" i="8" s="1"/>
  <c r="X34" i="3" s="1"/>
  <c r="G32" i="8"/>
  <c r="I32" i="8" s="1"/>
  <c r="M32" i="8" s="1"/>
  <c r="G30" i="8"/>
  <c r="I30" i="8" s="1"/>
  <c r="G28" i="8"/>
  <c r="I28" i="8" s="1"/>
  <c r="M28" i="8" s="1"/>
  <c r="G26" i="8"/>
  <c r="I26" i="8" s="1"/>
  <c r="T26" i="8" s="1"/>
  <c r="U26" i="8" s="1"/>
  <c r="X26" i="3" s="1"/>
  <c r="G24" i="8"/>
  <c r="I24" i="8" s="1"/>
  <c r="M24" i="8" s="1"/>
  <c r="G22" i="8"/>
  <c r="I22" i="8" s="1"/>
  <c r="G20" i="8"/>
  <c r="I20" i="8" s="1"/>
  <c r="M20" i="8" s="1"/>
  <c r="G18" i="8"/>
  <c r="I18" i="8" s="1"/>
  <c r="J18" i="8" s="1"/>
  <c r="G16" i="8"/>
  <c r="I16" i="8" s="1"/>
  <c r="J16" i="8" s="1"/>
  <c r="K16" i="8" s="1"/>
  <c r="G14" i="8"/>
  <c r="I14" i="8" s="1"/>
  <c r="G12" i="8"/>
  <c r="I12" i="8" s="1"/>
  <c r="M12" i="8" s="1"/>
  <c r="G10" i="8"/>
  <c r="I10" i="8" s="1"/>
  <c r="G8" i="8"/>
  <c r="I8" i="8" s="1"/>
  <c r="J8" i="8" s="1"/>
  <c r="K8" i="8" s="1"/>
  <c r="G6" i="8"/>
  <c r="I6" i="8" s="1"/>
  <c r="T6" i="8" s="1"/>
  <c r="U6" i="8" s="1"/>
  <c r="X6" i="3" s="1"/>
  <c r="G4" i="8"/>
  <c r="I4" i="8" s="1"/>
  <c r="J57" i="7"/>
  <c r="L57" i="7" s="1"/>
  <c r="M57" i="7" s="1"/>
  <c r="N57" i="7" s="1"/>
  <c r="J55" i="7"/>
  <c r="L55" i="7" s="1"/>
  <c r="P55" i="7" s="1"/>
  <c r="J53" i="7"/>
  <c r="L53" i="7" s="1"/>
  <c r="M53" i="7" s="1"/>
  <c r="N53" i="7" s="1"/>
  <c r="J51" i="7"/>
  <c r="L51" i="7" s="1"/>
  <c r="M51" i="7" s="1"/>
  <c r="J46" i="7"/>
  <c r="L46" i="7" s="1"/>
  <c r="M46" i="7" s="1"/>
  <c r="N46" i="7" s="1"/>
  <c r="J44" i="7"/>
  <c r="L44" i="7" s="1"/>
  <c r="P44" i="7" s="1"/>
  <c r="J37" i="7"/>
  <c r="L37" i="7" s="1"/>
  <c r="M37" i="7" s="1"/>
  <c r="N37" i="7" s="1"/>
  <c r="J35" i="7"/>
  <c r="L35" i="7" s="1"/>
  <c r="P35" i="7" s="1"/>
  <c r="J30" i="7"/>
  <c r="L30" i="7" s="1"/>
  <c r="M30" i="7" s="1"/>
  <c r="J28" i="7"/>
  <c r="L28" i="7" s="1"/>
  <c r="J21" i="7"/>
  <c r="L21" i="7" s="1"/>
  <c r="J19" i="7"/>
  <c r="L19" i="7" s="1"/>
  <c r="P19" i="7" s="1"/>
  <c r="J6" i="7"/>
  <c r="L6" i="7" s="1"/>
  <c r="M6" i="7" s="1"/>
  <c r="N6" i="7" s="1"/>
  <c r="J4" i="7"/>
  <c r="L4" i="7" s="1"/>
  <c r="M4" i="7" s="1"/>
  <c r="J13" i="7"/>
  <c r="L13" i="7" s="1"/>
  <c r="M13" i="7" s="1"/>
  <c r="N13" i="7" s="1"/>
  <c r="L9" i="7"/>
  <c r="M9" i="7" s="1"/>
  <c r="N9" i="7" s="1"/>
  <c r="L33" i="7"/>
  <c r="M33" i="7" s="1"/>
  <c r="N33" i="7" s="1"/>
  <c r="T60" i="3"/>
  <c r="S65" i="3"/>
  <c r="S57" i="3"/>
  <c r="S52" i="3"/>
  <c r="S39" i="3"/>
  <c r="S31" i="3"/>
  <c r="S26" i="3"/>
  <c r="S18" i="3"/>
  <c r="S10" i="3"/>
  <c r="S60" i="3"/>
  <c r="Q12" i="8"/>
  <c r="S32" i="3"/>
  <c r="S27" i="3"/>
  <c r="S19" i="3"/>
  <c r="S11" i="3"/>
  <c r="Q36" i="8"/>
  <c r="S56" i="3"/>
  <c r="S48" i="3"/>
  <c r="S40" i="3"/>
  <c r="S35" i="3"/>
  <c r="S22" i="3"/>
  <c r="S14" i="3"/>
  <c r="S6" i="3"/>
  <c r="S64" i="3"/>
  <c r="S51" i="3"/>
  <c r="S43" i="3"/>
  <c r="S30" i="3"/>
  <c r="S25" i="3"/>
  <c r="S17" i="3"/>
  <c r="S9" i="3"/>
  <c r="Q28" i="8"/>
  <c r="S67" i="3"/>
  <c r="S59" i="3"/>
  <c r="S54" i="3"/>
  <c r="S46" i="3"/>
  <c r="S33" i="3"/>
  <c r="S62" i="3"/>
  <c r="S49" i="3"/>
  <c r="S41" i="3"/>
  <c r="S15" i="3"/>
  <c r="S7" i="3"/>
  <c r="H34" i="3"/>
  <c r="J34" i="3" s="1"/>
  <c r="L34" i="3" s="1"/>
  <c r="H39" i="3"/>
  <c r="J39" i="3" s="1"/>
  <c r="L39" i="3" s="1"/>
  <c r="H56" i="3"/>
  <c r="J56" i="3" s="1"/>
  <c r="L56" i="3" s="1"/>
  <c r="H54" i="3"/>
  <c r="J54" i="3" s="1"/>
  <c r="L54" i="3" s="1"/>
  <c r="H19" i="3"/>
  <c r="J19" i="3" s="1"/>
  <c r="L19" i="3" s="1"/>
  <c r="H4" i="3"/>
  <c r="J4" i="3" s="1"/>
  <c r="L4" i="3" s="1"/>
  <c r="H15" i="3"/>
  <c r="J15" i="3" s="1"/>
  <c r="L15" i="3" s="1"/>
  <c r="H18" i="3"/>
  <c r="J18" i="3" s="1"/>
  <c r="L18" i="3" s="1"/>
  <c r="H26" i="3"/>
  <c r="J26" i="3" s="1"/>
  <c r="L26" i="3" s="1"/>
  <c r="H30" i="3"/>
  <c r="J30" i="3" s="1"/>
  <c r="H38" i="3"/>
  <c r="J38" i="3" s="1"/>
  <c r="L38" i="3" s="1"/>
  <c r="H41" i="3"/>
  <c r="J41" i="3" s="1"/>
  <c r="L41" i="3" s="1"/>
  <c r="H50" i="3"/>
  <c r="J50" i="3" s="1"/>
  <c r="L50" i="3" s="1"/>
  <c r="H58" i="3"/>
  <c r="J58" i="3" s="1"/>
  <c r="L58" i="3" s="1"/>
  <c r="H12" i="3"/>
  <c r="J12" i="3" s="1"/>
  <c r="L12" i="3" s="1"/>
  <c r="H16" i="3"/>
  <c r="J16" i="3" s="1"/>
  <c r="L16" i="3" s="1"/>
  <c r="H23" i="3"/>
  <c r="J23" i="3" s="1"/>
  <c r="L23" i="3" s="1"/>
  <c r="H33" i="3"/>
  <c r="J33" i="3" s="1"/>
  <c r="L33" i="3" s="1"/>
  <c r="H40" i="3"/>
  <c r="J40" i="3" s="1"/>
  <c r="L40" i="3" s="1"/>
  <c r="H42" i="3"/>
  <c r="J42" i="3" s="1"/>
  <c r="L42" i="3" s="1"/>
  <c r="H45" i="3"/>
  <c r="J45" i="3" s="1"/>
  <c r="L45" i="3" s="1"/>
  <c r="H53" i="3"/>
  <c r="J53" i="3" s="1"/>
  <c r="H55" i="3"/>
  <c r="J55" i="3" s="1"/>
  <c r="L55" i="3" s="1"/>
  <c r="H60" i="3"/>
  <c r="J60" i="3" s="1"/>
  <c r="L60" i="3" s="1"/>
  <c r="H10" i="3"/>
  <c r="J10" i="3" s="1"/>
  <c r="L10" i="3" s="1"/>
  <c r="H22" i="3"/>
  <c r="J22" i="3" s="1"/>
  <c r="L22" i="3" s="1"/>
  <c r="H32" i="3"/>
  <c r="J32" i="3" s="1"/>
  <c r="H11" i="3"/>
  <c r="J11" i="3" s="1"/>
  <c r="H17" i="3"/>
  <c r="J17" i="3" s="1"/>
  <c r="L17" i="3" s="1"/>
  <c r="H20" i="3"/>
  <c r="J20" i="3" s="1"/>
  <c r="H27" i="3"/>
  <c r="J27" i="3" s="1"/>
  <c r="H28" i="3"/>
  <c r="J28" i="3" s="1"/>
  <c r="L28" i="3" s="1"/>
  <c r="H35" i="3"/>
  <c r="J35" i="3" s="1"/>
  <c r="L35" i="3" s="1"/>
  <c r="H46" i="3"/>
  <c r="J46" i="3" s="1"/>
  <c r="L46" i="3" s="1"/>
  <c r="H51" i="3"/>
  <c r="J51" i="3" s="1"/>
  <c r="H14" i="3"/>
  <c r="J14" i="3" s="1"/>
  <c r="L14" i="3" s="1"/>
  <c r="H25" i="3"/>
  <c r="J25" i="3" s="1"/>
  <c r="L25" i="3" s="1"/>
  <c r="H57" i="3"/>
  <c r="J57" i="3" s="1"/>
  <c r="L57" i="3" s="1"/>
  <c r="H61" i="3"/>
  <c r="J61" i="3" s="1"/>
  <c r="L61" i="3" s="1"/>
  <c r="H67" i="3"/>
  <c r="J67" i="3" s="1"/>
  <c r="L67" i="3" s="1"/>
  <c r="H44" i="3"/>
  <c r="J44" i="3" s="1"/>
  <c r="L44" i="3" s="1"/>
  <c r="H7" i="3"/>
  <c r="J7" i="3" s="1"/>
  <c r="L7" i="3" s="1"/>
  <c r="H31" i="3"/>
  <c r="J31" i="3" s="1"/>
  <c r="L31" i="3" s="1"/>
  <c r="H43" i="3"/>
  <c r="J43" i="3" s="1"/>
  <c r="L43" i="3" s="1"/>
  <c r="H48" i="3"/>
  <c r="J48" i="3" s="1"/>
  <c r="L48" i="3" s="1"/>
  <c r="H66" i="3"/>
  <c r="J66" i="3" s="1"/>
  <c r="L66" i="3" s="1"/>
  <c r="H37" i="3"/>
  <c r="J37" i="3" s="1"/>
  <c r="H49" i="3"/>
  <c r="J49" i="3" s="1"/>
  <c r="L49" i="3" s="1"/>
  <c r="H52" i="3"/>
  <c r="J52" i="3" s="1"/>
  <c r="L52" i="3" s="1"/>
  <c r="H59" i="3"/>
  <c r="J59" i="3" s="1"/>
  <c r="L59" i="3" s="1"/>
  <c r="H62" i="3"/>
  <c r="J62" i="3" s="1"/>
  <c r="L62" i="3" s="1"/>
  <c r="H64" i="3"/>
  <c r="J64" i="3" s="1"/>
  <c r="L64" i="3" s="1"/>
  <c r="H8" i="3"/>
  <c r="J8" i="3" s="1"/>
  <c r="L8" i="3" s="1"/>
  <c r="H29" i="3"/>
  <c r="J29" i="3" s="1"/>
  <c r="L29" i="3" s="1"/>
  <c r="H36" i="3"/>
  <c r="J36" i="3" s="1"/>
  <c r="L36" i="3" s="1"/>
  <c r="H63" i="3"/>
  <c r="J63" i="3" s="1"/>
  <c r="L63" i="3" s="1"/>
  <c r="H9" i="3"/>
  <c r="J9" i="3" s="1"/>
  <c r="L9" i="3" s="1"/>
  <c r="H65" i="3"/>
  <c r="J65" i="3" s="1"/>
  <c r="L65" i="3" s="1"/>
  <c r="H5" i="3"/>
  <c r="J5" i="3" s="1"/>
  <c r="L5" i="3" s="1"/>
  <c r="H6" i="3"/>
  <c r="J6" i="3" s="1"/>
  <c r="L6" i="3" s="1"/>
  <c r="H13" i="3"/>
  <c r="J13" i="3" s="1"/>
  <c r="L13" i="3" s="1"/>
  <c r="H21" i="3"/>
  <c r="J21" i="3" s="1"/>
  <c r="L21" i="3" s="1"/>
  <c r="H47" i="3"/>
  <c r="J47" i="3" s="1"/>
  <c r="L47" i="3" s="1"/>
  <c r="H24" i="3"/>
  <c r="J24" i="3" s="1"/>
  <c r="L24" i="3" s="1"/>
  <c r="U9" i="3" l="1"/>
  <c r="N3" i="3"/>
  <c r="U15" i="3"/>
  <c r="U17" i="3"/>
  <c r="U25" i="3"/>
  <c r="U33" i="3"/>
  <c r="U49" i="3"/>
  <c r="U57" i="3"/>
  <c r="U65" i="3"/>
  <c r="M68" i="3"/>
  <c r="V67" i="3"/>
  <c r="U42" i="3"/>
  <c r="O46" i="8"/>
  <c r="U65" i="8"/>
  <c r="X65" i="3" s="1"/>
  <c r="R44" i="8"/>
  <c r="U40" i="8"/>
  <c r="X40" i="3" s="1"/>
  <c r="S44" i="8"/>
  <c r="V44" i="3" s="1"/>
  <c r="X3" i="3"/>
  <c r="R53" i="8"/>
  <c r="O24" i="8"/>
  <c r="O27" i="8"/>
  <c r="O44" i="8"/>
  <c r="R23" i="8"/>
  <c r="O35" i="8"/>
  <c r="T4" i="8"/>
  <c r="U4" i="8" s="1"/>
  <c r="X4" i="3" s="1"/>
  <c r="U44" i="3"/>
  <c r="U60" i="3"/>
  <c r="O32" i="8"/>
  <c r="O64" i="8"/>
  <c r="R36" i="8"/>
  <c r="O66" i="8"/>
  <c r="R5" i="8"/>
  <c r="R66" i="8"/>
  <c r="R28" i="8"/>
  <c r="O20" i="8"/>
  <c r="U4" i="3"/>
  <c r="U3" i="3"/>
  <c r="R12" i="8"/>
  <c r="O12" i="8"/>
  <c r="O28" i="8"/>
  <c r="Q68" i="7"/>
  <c r="S68" i="7"/>
  <c r="R45" i="8"/>
  <c r="U38" i="3"/>
  <c r="U37" i="3"/>
  <c r="T37" i="8"/>
  <c r="U37" i="8" s="1"/>
  <c r="X37" i="3" s="1"/>
  <c r="R38" i="8"/>
  <c r="S4" i="8"/>
  <c r="V4" i="3" s="1"/>
  <c r="S37" i="8"/>
  <c r="V37" i="3" s="1"/>
  <c r="R4" i="8"/>
  <c r="R37" i="8"/>
  <c r="S38" i="8"/>
  <c r="V38" i="3" s="1"/>
  <c r="M23" i="7"/>
  <c r="N23" i="7" s="1"/>
  <c r="M35" i="7"/>
  <c r="N35" i="7" s="1"/>
  <c r="P10" i="7"/>
  <c r="R10" i="7" s="1"/>
  <c r="P3" i="7"/>
  <c r="T3" i="7" s="1"/>
  <c r="M43" i="7"/>
  <c r="N43" i="7" s="1"/>
  <c r="T20" i="8"/>
  <c r="N10" i="7"/>
  <c r="P7" i="7"/>
  <c r="R7" i="7" s="1"/>
  <c r="M59" i="7"/>
  <c r="N59" i="7" s="1"/>
  <c r="T53" i="8"/>
  <c r="U53" i="8" s="1"/>
  <c r="X53" i="3" s="1"/>
  <c r="T36" i="8"/>
  <c r="M39" i="7"/>
  <c r="N39" i="7" s="1"/>
  <c r="J20" i="8"/>
  <c r="K20" i="8" s="1"/>
  <c r="M31" i="7"/>
  <c r="N31" i="7" s="1"/>
  <c r="P26" i="7"/>
  <c r="T26" i="7" s="1"/>
  <c r="P26" i="3" s="1"/>
  <c r="J60" i="8"/>
  <c r="K60" i="8" s="1"/>
  <c r="M12" i="7"/>
  <c r="N12" i="7" s="1"/>
  <c r="M62" i="7"/>
  <c r="N62" i="7" s="1"/>
  <c r="P62" i="7"/>
  <c r="R62" i="7" s="1"/>
  <c r="P40" i="7"/>
  <c r="T40" i="7" s="1"/>
  <c r="M40" i="7"/>
  <c r="N40" i="7" s="1"/>
  <c r="P45" i="7"/>
  <c r="R45" i="7" s="1"/>
  <c r="M45" i="7"/>
  <c r="N45" i="7" s="1"/>
  <c r="M5" i="7"/>
  <c r="N5" i="7" s="1"/>
  <c r="P5" i="7"/>
  <c r="T5" i="7" s="1"/>
  <c r="N38" i="7"/>
  <c r="N14" i="7"/>
  <c r="M19" i="7"/>
  <c r="N19" i="7" s="1"/>
  <c r="P4" i="7"/>
  <c r="R4" i="7" s="1"/>
  <c r="P50" i="7"/>
  <c r="R50" i="7" s="1"/>
  <c r="N51" i="7"/>
  <c r="M64" i="7"/>
  <c r="N64" i="7" s="1"/>
  <c r="P33" i="7"/>
  <c r="R33" i="7" s="1"/>
  <c r="P51" i="7"/>
  <c r="T51" i="7" s="1"/>
  <c r="M63" i="7"/>
  <c r="N63" i="7" s="1"/>
  <c r="P14" i="7"/>
  <c r="T14" i="7" s="1"/>
  <c r="P61" i="7"/>
  <c r="T61" i="7" s="1"/>
  <c r="J28" i="8"/>
  <c r="K28" i="8" s="1"/>
  <c r="P6" i="7"/>
  <c r="R6" i="7" s="1"/>
  <c r="P30" i="7"/>
  <c r="T30" i="7" s="1"/>
  <c r="P30" i="3" s="1"/>
  <c r="P16" i="7"/>
  <c r="T16" i="7" s="1"/>
  <c r="M16" i="7"/>
  <c r="N16" i="7" s="1"/>
  <c r="P9" i="7"/>
  <c r="T9" i="7" s="1"/>
  <c r="P57" i="7"/>
  <c r="T57" i="7" s="1"/>
  <c r="P46" i="7"/>
  <c r="T46" i="7" s="1"/>
  <c r="P46" i="3" s="1"/>
  <c r="P49" i="7"/>
  <c r="T49" i="7" s="1"/>
  <c r="P34" i="7"/>
  <c r="J4" i="8"/>
  <c r="K4" i="8" s="1"/>
  <c r="M33" i="8"/>
  <c r="O33" i="8" s="1"/>
  <c r="T33" i="8"/>
  <c r="U33" i="8" s="1"/>
  <c r="X33" i="3" s="1"/>
  <c r="J39" i="8"/>
  <c r="K39" i="8" s="1"/>
  <c r="M39" i="8"/>
  <c r="O39" i="8" s="1"/>
  <c r="J9" i="8"/>
  <c r="K9" i="8" s="1"/>
  <c r="T9" i="8"/>
  <c r="T55" i="3"/>
  <c r="U55" i="3" s="1"/>
  <c r="S55" i="8"/>
  <c r="V55" i="3" s="1"/>
  <c r="M36" i="8"/>
  <c r="O36" i="8" s="1"/>
  <c r="T12" i="3"/>
  <c r="U12" i="3" s="1"/>
  <c r="S12" i="8"/>
  <c r="V12" i="3" s="1"/>
  <c r="T53" i="3"/>
  <c r="U53" i="3" s="1"/>
  <c r="S53" i="8"/>
  <c r="V53" i="3" s="1"/>
  <c r="T5" i="3"/>
  <c r="U5" i="3" s="1"/>
  <c r="S5" i="8"/>
  <c r="V5" i="3" s="1"/>
  <c r="T36" i="3"/>
  <c r="U36" i="3" s="1"/>
  <c r="S36" i="8"/>
  <c r="V36" i="3" s="1"/>
  <c r="T28" i="3"/>
  <c r="U28" i="3" s="1"/>
  <c r="S28" i="8"/>
  <c r="V28" i="3" s="1"/>
  <c r="J36" i="8"/>
  <c r="K36" i="8" s="1"/>
  <c r="T23" i="3"/>
  <c r="U23" i="3" s="1"/>
  <c r="S23" i="8"/>
  <c r="V23" i="3" s="1"/>
  <c r="J52" i="8"/>
  <c r="K52" i="8" s="1"/>
  <c r="T61" i="3"/>
  <c r="U61" i="3" s="1"/>
  <c r="S61" i="8"/>
  <c r="V61" i="3" s="1"/>
  <c r="T66" i="3"/>
  <c r="U66" i="3" s="1"/>
  <c r="S66" i="8"/>
  <c r="V66" i="3" s="1"/>
  <c r="M52" i="8"/>
  <c r="O52" i="8" s="1"/>
  <c r="T45" i="3"/>
  <c r="U45" i="3" s="1"/>
  <c r="S45" i="8"/>
  <c r="V45" i="3" s="1"/>
  <c r="S58" i="8"/>
  <c r="V58" i="3" s="1"/>
  <c r="T58" i="3"/>
  <c r="U58" i="3" s="1"/>
  <c r="O11" i="8"/>
  <c r="J11" i="8"/>
  <c r="K11" i="8" s="1"/>
  <c r="T11" i="8"/>
  <c r="U11" i="8" s="1"/>
  <c r="X11" i="3" s="1"/>
  <c r="J43" i="8"/>
  <c r="K43" i="8" s="1"/>
  <c r="J59" i="8"/>
  <c r="K59" i="8" s="1"/>
  <c r="T59" i="8"/>
  <c r="U59" i="8" s="1"/>
  <c r="X59" i="3" s="1"/>
  <c r="M59" i="8"/>
  <c r="O59" i="8" s="1"/>
  <c r="J10" i="8"/>
  <c r="K10" i="8" s="1"/>
  <c r="T10" i="8"/>
  <c r="M10" i="8"/>
  <c r="O10" i="8" s="1"/>
  <c r="J13" i="8"/>
  <c r="K13" i="8" s="1"/>
  <c r="T13" i="8"/>
  <c r="U13" i="8" s="1"/>
  <c r="X13" i="3" s="1"/>
  <c r="M13" i="8"/>
  <c r="O13" i="8" s="1"/>
  <c r="T61" i="8"/>
  <c r="U61" i="8" s="1"/>
  <c r="X61" i="3" s="1"/>
  <c r="J61" i="8"/>
  <c r="K61" i="8" s="1"/>
  <c r="M61" i="8"/>
  <c r="O61" i="8" s="1"/>
  <c r="J7" i="8"/>
  <c r="K7" i="8" s="1"/>
  <c r="T7" i="8"/>
  <c r="J23" i="8"/>
  <c r="K23" i="8" s="1"/>
  <c r="T23" i="8"/>
  <c r="U23" i="8" s="1"/>
  <c r="X23" i="3" s="1"/>
  <c r="M23" i="8"/>
  <c r="O23" i="8" s="1"/>
  <c r="J48" i="8"/>
  <c r="K48" i="8" s="1"/>
  <c r="M3" i="8"/>
  <c r="O3" i="8" s="1"/>
  <c r="T28" i="8"/>
  <c r="U28" i="8" s="1"/>
  <c r="X28" i="3" s="1"/>
  <c r="J50" i="8"/>
  <c r="K50" i="8" s="1"/>
  <c r="M48" i="8"/>
  <c r="O48" i="8" s="1"/>
  <c r="M50" i="8"/>
  <c r="O50" i="8" s="1"/>
  <c r="T8" i="8"/>
  <c r="J32" i="8"/>
  <c r="K32" i="8" s="1"/>
  <c r="M8" i="8"/>
  <c r="O8" i="8" s="1"/>
  <c r="T32" i="8"/>
  <c r="U32" i="8" s="1"/>
  <c r="X32" i="3" s="1"/>
  <c r="T18" i="8"/>
  <c r="U18" i="8" s="1"/>
  <c r="X18" i="3" s="1"/>
  <c r="M4" i="8"/>
  <c r="O4" i="8" s="1"/>
  <c r="Q68" i="8"/>
  <c r="P21" i="7"/>
  <c r="R21" i="7" s="1"/>
  <c r="M21" i="7"/>
  <c r="N21" i="7" s="1"/>
  <c r="M51" i="8"/>
  <c r="O51" i="8" s="1"/>
  <c r="T51" i="8"/>
  <c r="J51" i="8"/>
  <c r="K51" i="8" s="1"/>
  <c r="T30" i="8"/>
  <c r="J30" i="8"/>
  <c r="K30" i="8" s="1"/>
  <c r="J62" i="8"/>
  <c r="K62" i="8" s="1"/>
  <c r="M62" i="8"/>
  <c r="O62" i="8" s="1"/>
  <c r="M17" i="7"/>
  <c r="N17" i="7" s="1"/>
  <c r="P17" i="7"/>
  <c r="T17" i="7" s="1"/>
  <c r="P25" i="7"/>
  <c r="T25" i="7" s="1"/>
  <c r="M25" i="7"/>
  <c r="N25" i="7" s="1"/>
  <c r="P28" i="7"/>
  <c r="T28" i="7" s="1"/>
  <c r="M28" i="7"/>
  <c r="N28" i="7" s="1"/>
  <c r="P20" i="7"/>
  <c r="T20" i="7" s="1"/>
  <c r="M20" i="7"/>
  <c r="N20" i="7" s="1"/>
  <c r="P52" i="7"/>
  <c r="R52" i="7" s="1"/>
  <c r="M52" i="7"/>
  <c r="N52" i="7" s="1"/>
  <c r="J15" i="8"/>
  <c r="K15" i="8" s="1"/>
  <c r="M15" i="8"/>
  <c r="O15" i="8" s="1"/>
  <c r="J14" i="8"/>
  <c r="K14" i="8" s="1"/>
  <c r="P8" i="7"/>
  <c r="R8" i="7" s="1"/>
  <c r="M8" i="7"/>
  <c r="N8" i="7" s="1"/>
  <c r="M54" i="7"/>
  <c r="N54" i="7" s="1"/>
  <c r="P54" i="7"/>
  <c r="T54" i="7" s="1"/>
  <c r="J17" i="8"/>
  <c r="K17" i="8" s="1"/>
  <c r="M17" i="8"/>
  <c r="O17" i="8" s="1"/>
  <c r="P32" i="7"/>
  <c r="T32" i="7" s="1"/>
  <c r="M32" i="7"/>
  <c r="N32" i="7" s="1"/>
  <c r="M56" i="7"/>
  <c r="N56" i="7" s="1"/>
  <c r="P56" i="7"/>
  <c r="T56" i="7" s="1"/>
  <c r="J19" i="8"/>
  <c r="K19" i="8" s="1"/>
  <c r="T19" i="8"/>
  <c r="M19" i="8"/>
  <c r="O19" i="8" s="1"/>
  <c r="T67" i="8"/>
  <c r="M67" i="8"/>
  <c r="O67" i="8" s="1"/>
  <c r="P24" i="7"/>
  <c r="R24" i="7" s="1"/>
  <c r="M24" i="7"/>
  <c r="N24" i="7" s="1"/>
  <c r="J21" i="8"/>
  <c r="K21" i="8" s="1"/>
  <c r="M21" i="8"/>
  <c r="O21" i="8" s="1"/>
  <c r="J22" i="8"/>
  <c r="K22" i="8" s="1"/>
  <c r="T22" i="8"/>
  <c r="U22" i="8" s="1"/>
  <c r="X22" i="3" s="1"/>
  <c r="T38" i="8"/>
  <c r="J38" i="8"/>
  <c r="K38" i="8" s="1"/>
  <c r="M38" i="8"/>
  <c r="O38" i="8" s="1"/>
  <c r="M41" i="8"/>
  <c r="O41" i="8" s="1"/>
  <c r="T41" i="8"/>
  <c r="J41" i="8"/>
  <c r="K41" i="8" s="1"/>
  <c r="T57" i="8"/>
  <c r="M57" i="8"/>
  <c r="O57" i="8" s="1"/>
  <c r="J57" i="8"/>
  <c r="K57" i="8" s="1"/>
  <c r="P48" i="7"/>
  <c r="R48" i="7" s="1"/>
  <c r="M15" i="7"/>
  <c r="N15" i="7" s="1"/>
  <c r="P27" i="7"/>
  <c r="T27" i="7" s="1"/>
  <c r="M55" i="7"/>
  <c r="N55" i="7" s="1"/>
  <c r="P67" i="7"/>
  <c r="T67" i="7" s="1"/>
  <c r="P11" i="7"/>
  <c r="R11" i="7" s="1"/>
  <c r="M29" i="7"/>
  <c r="N29" i="7" s="1"/>
  <c r="N66" i="7"/>
  <c r="P60" i="7"/>
  <c r="T60" i="7" s="1"/>
  <c r="K18" i="8"/>
  <c r="M63" i="8"/>
  <c r="O63" i="8" s="1"/>
  <c r="M29" i="8"/>
  <c r="O29" i="8" s="1"/>
  <c r="N22" i="7"/>
  <c r="P41" i="7"/>
  <c r="R41" i="7" s="1"/>
  <c r="P13" i="7"/>
  <c r="R13" i="7" s="1"/>
  <c r="P37" i="7"/>
  <c r="R37" i="7" s="1"/>
  <c r="P53" i="7"/>
  <c r="T53" i="7" s="1"/>
  <c r="P65" i="7"/>
  <c r="T65" i="7" s="1"/>
  <c r="N4" i="7"/>
  <c r="M11" i="7"/>
  <c r="N11" i="7" s="1"/>
  <c r="P66" i="7"/>
  <c r="T66" i="7" s="1"/>
  <c r="P58" i="7"/>
  <c r="R58" i="7" s="1"/>
  <c r="M18" i="8"/>
  <c r="O18" i="8" s="1"/>
  <c r="J12" i="8"/>
  <c r="K12" i="8" s="1"/>
  <c r="M53" i="8"/>
  <c r="O53" i="8" s="1"/>
  <c r="T39" i="8"/>
  <c r="U39" i="8" s="1"/>
  <c r="X39" i="3" s="1"/>
  <c r="T60" i="8"/>
  <c r="U60" i="8" s="1"/>
  <c r="X60" i="3" s="1"/>
  <c r="M36" i="7"/>
  <c r="N36" i="7" s="1"/>
  <c r="N47" i="7"/>
  <c r="N18" i="7"/>
  <c r="M44" i="7"/>
  <c r="N44" i="7" s="1"/>
  <c r="M54" i="8"/>
  <c r="O54" i="8" s="1"/>
  <c r="J53" i="8"/>
  <c r="K53" i="8" s="1"/>
  <c r="T63" i="8"/>
  <c r="U63" i="8" s="1"/>
  <c r="X63" i="3" s="1"/>
  <c r="P22" i="7"/>
  <c r="T22" i="7" s="1"/>
  <c r="P22" i="3" s="1"/>
  <c r="P38" i="7"/>
  <c r="J33" i="8"/>
  <c r="K33" i="8" s="1"/>
  <c r="J26" i="8"/>
  <c r="K26" i="8" s="1"/>
  <c r="P18" i="7"/>
  <c r="T18" i="7" s="1"/>
  <c r="M48" i="7"/>
  <c r="N48" i="7" s="1"/>
  <c r="M60" i="7"/>
  <c r="N60" i="7" s="1"/>
  <c r="P47" i="7"/>
  <c r="R47" i="7" s="1"/>
  <c r="M26" i="8"/>
  <c r="O26" i="8" s="1"/>
  <c r="J44" i="8"/>
  <c r="K44" i="8" s="1"/>
  <c r="T44" i="8"/>
  <c r="U44" i="8" s="1"/>
  <c r="X44" i="3" s="1"/>
  <c r="N30" i="7"/>
  <c r="P42" i="7"/>
  <c r="T42" i="7" s="1"/>
  <c r="P42" i="3" s="1"/>
  <c r="R39" i="7"/>
  <c r="T39" i="7"/>
  <c r="R35" i="7"/>
  <c r="T35" i="7"/>
  <c r="R59" i="7"/>
  <c r="T59" i="7"/>
  <c r="N59" i="3"/>
  <c r="N46" i="3"/>
  <c r="N22" i="3"/>
  <c r="N33" i="3"/>
  <c r="N39" i="3"/>
  <c r="N29" i="3"/>
  <c r="N58" i="3"/>
  <c r="N62" i="3"/>
  <c r="N40" i="3"/>
  <c r="N56" i="3"/>
  <c r="N13" i="3"/>
  <c r="N66" i="3"/>
  <c r="N57" i="3"/>
  <c r="N4" i="3"/>
  <c r="N8" i="3"/>
  <c r="N25" i="3"/>
  <c r="N45" i="3"/>
  <c r="N50" i="3"/>
  <c r="R55" i="7"/>
  <c r="T55" i="7"/>
  <c r="R36" i="7"/>
  <c r="T36" i="7"/>
  <c r="N6" i="3"/>
  <c r="N48" i="3"/>
  <c r="N17" i="3"/>
  <c r="N19" i="3"/>
  <c r="N5" i="3"/>
  <c r="N64" i="3"/>
  <c r="N43" i="3"/>
  <c r="N14" i="3"/>
  <c r="N42" i="3"/>
  <c r="N41" i="3"/>
  <c r="N54" i="3"/>
  <c r="R12" i="7"/>
  <c r="T12" i="7"/>
  <c r="R29" i="7"/>
  <c r="T29" i="7"/>
  <c r="R64" i="7"/>
  <c r="T64" i="7"/>
  <c r="N65" i="3"/>
  <c r="N31" i="3"/>
  <c r="N38" i="3"/>
  <c r="R31" i="7"/>
  <c r="T31" i="7"/>
  <c r="N7" i="3"/>
  <c r="N34" i="3"/>
  <c r="N49" i="3"/>
  <c r="N28" i="3"/>
  <c r="N16" i="3"/>
  <c r="N18" i="3"/>
  <c r="R19" i="7"/>
  <c r="T19" i="7"/>
  <c r="R43" i="7"/>
  <c r="T43" i="7"/>
  <c r="R44" i="7"/>
  <c r="T44" i="7"/>
  <c r="N24" i="3"/>
  <c r="N9" i="3"/>
  <c r="N52" i="3"/>
  <c r="N44" i="3"/>
  <c r="N35" i="3"/>
  <c r="N10" i="3"/>
  <c r="N23" i="3"/>
  <c r="N26" i="3"/>
  <c r="N47" i="3"/>
  <c r="N63" i="3"/>
  <c r="N67" i="3"/>
  <c r="N60" i="3"/>
  <c r="N21" i="3"/>
  <c r="N36" i="3"/>
  <c r="N61" i="3"/>
  <c r="N55" i="3"/>
  <c r="N12" i="3"/>
  <c r="N15" i="3"/>
  <c r="R15" i="7"/>
  <c r="T15" i="7"/>
  <c r="R23" i="7"/>
  <c r="T23" i="7"/>
  <c r="R63" i="7"/>
  <c r="T63" i="7"/>
  <c r="W53" i="3"/>
  <c r="W56" i="3"/>
  <c r="W52" i="3"/>
  <c r="W6" i="3"/>
  <c r="M5" i="8"/>
  <c r="O5" i="8" s="1"/>
  <c r="M9" i="8"/>
  <c r="O9" i="8" s="1"/>
  <c r="T16" i="8"/>
  <c r="U16" i="8" s="1"/>
  <c r="X16" i="3" s="1"/>
  <c r="W48" i="3"/>
  <c r="W3" i="3"/>
  <c r="W37" i="3"/>
  <c r="W34" i="3"/>
  <c r="W65" i="3"/>
  <c r="M37" i="8"/>
  <c r="O37" i="8" s="1"/>
  <c r="W26" i="3"/>
  <c r="T21" i="8"/>
  <c r="U21" i="8" s="1"/>
  <c r="X21" i="3" s="1"/>
  <c r="W50" i="3"/>
  <c r="T12" i="8"/>
  <c r="U12" i="8" s="1"/>
  <c r="X12" i="3" s="1"/>
  <c r="M58" i="8"/>
  <c r="O58" i="8" s="1"/>
  <c r="W33" i="3"/>
  <c r="W47" i="3"/>
  <c r="J37" i="8"/>
  <c r="K37" i="8" s="1"/>
  <c r="J3" i="8"/>
  <c r="K3" i="8" s="1"/>
  <c r="W40" i="3"/>
  <c r="W49" i="3"/>
  <c r="M14" i="8"/>
  <c r="O14" i="8" s="1"/>
  <c r="M49" i="8"/>
  <c r="O49" i="8" s="1"/>
  <c r="M65" i="8"/>
  <c r="O65" i="8" s="1"/>
  <c r="J66" i="8"/>
  <c r="K66" i="8" s="1"/>
  <c r="J34" i="8"/>
  <c r="K34" i="8" s="1"/>
  <c r="T15" i="8"/>
  <c r="U15" i="8" s="1"/>
  <c r="X15" i="3" s="1"/>
  <c r="T45" i="8"/>
  <c r="U45" i="8" s="1"/>
  <c r="X45" i="3" s="1"/>
  <c r="T35" i="8"/>
  <c r="U35" i="8" s="1"/>
  <c r="X35" i="3" s="1"/>
  <c r="M30" i="8"/>
  <c r="O30" i="8" s="1"/>
  <c r="J49" i="8"/>
  <c r="K49" i="8" s="1"/>
  <c r="M43" i="8"/>
  <c r="O43" i="8" s="1"/>
  <c r="J65" i="8"/>
  <c r="K65" i="8" s="1"/>
  <c r="M34" i="8"/>
  <c r="O34" i="8" s="1"/>
  <c r="T66" i="8"/>
  <c r="U66" i="8" s="1"/>
  <c r="X66" i="3" s="1"/>
  <c r="J35" i="8"/>
  <c r="K35" i="8" s="1"/>
  <c r="J42" i="8"/>
  <c r="K42" i="8" s="1"/>
  <c r="K31" i="8"/>
  <c r="M7" i="8"/>
  <c r="O7" i="8" s="1"/>
  <c r="T58" i="8"/>
  <c r="U58" i="8" s="1"/>
  <c r="X58" i="3" s="1"/>
  <c r="T17" i="8"/>
  <c r="U17" i="8" s="1"/>
  <c r="X17" i="3" s="1"/>
  <c r="T14" i="8"/>
  <c r="U14" i="8" s="1"/>
  <c r="X14" i="3" s="1"/>
  <c r="J47" i="8"/>
  <c r="K47" i="8" s="1"/>
  <c r="M45" i="8"/>
  <c r="O45" i="8" s="1"/>
  <c r="M25" i="8"/>
  <c r="O25" i="8" s="1"/>
  <c r="J27" i="8"/>
  <c r="K27" i="8" s="1"/>
  <c r="M16" i="8"/>
  <c r="O16" i="8" s="1"/>
  <c r="T54" i="8"/>
  <c r="U54" i="8" s="1"/>
  <c r="X54" i="3" s="1"/>
  <c r="T29" i="8"/>
  <c r="U29" i="8" s="1"/>
  <c r="X29" i="3" s="1"/>
  <c r="T25" i="8"/>
  <c r="U25" i="8" s="1"/>
  <c r="X25" i="3" s="1"/>
  <c r="M47" i="8"/>
  <c r="O47" i="8" s="1"/>
  <c r="J67" i="8"/>
  <c r="K67" i="8" s="1"/>
  <c r="T55" i="8"/>
  <c r="U55" i="8" s="1"/>
  <c r="X55" i="3" s="1"/>
  <c r="T64" i="8"/>
  <c r="U64" i="8" s="1"/>
  <c r="X64" i="3" s="1"/>
  <c r="M31" i="8"/>
  <c r="O31" i="8" s="1"/>
  <c r="J46" i="8"/>
  <c r="K46" i="8" s="1"/>
  <c r="T46" i="8"/>
  <c r="U46" i="8" s="1"/>
  <c r="X46" i="3" s="1"/>
  <c r="M42" i="8"/>
  <c r="O42" i="8" s="1"/>
  <c r="K5" i="8"/>
  <c r="J64" i="8"/>
  <c r="K64" i="8" s="1"/>
  <c r="T42" i="8"/>
  <c r="U42" i="8" s="1"/>
  <c r="X42" i="3" s="1"/>
  <c r="T31" i="8"/>
  <c r="U31" i="8" s="1"/>
  <c r="X31" i="3" s="1"/>
  <c r="T24" i="8"/>
  <c r="U24" i="8" s="1"/>
  <c r="X24" i="3" s="1"/>
  <c r="T5" i="8"/>
  <c r="U5" i="8" s="1"/>
  <c r="X5" i="3" s="1"/>
  <c r="T27" i="8"/>
  <c r="U27" i="8" s="1"/>
  <c r="X27" i="3" s="1"/>
  <c r="J24" i="8"/>
  <c r="K24" i="8" s="1"/>
  <c r="K55" i="8"/>
  <c r="T62" i="8"/>
  <c r="U62" i="8" s="1"/>
  <c r="X62" i="3" s="1"/>
  <c r="M22" i="8"/>
  <c r="O22" i="8" s="1"/>
  <c r="M55" i="8"/>
  <c r="O55" i="8" s="1"/>
  <c r="T43" i="8"/>
  <c r="U43" i="8" s="1"/>
  <c r="X43" i="3" s="1"/>
  <c r="M56" i="8"/>
  <c r="O56" i="8" s="1"/>
  <c r="J56" i="8"/>
  <c r="K56" i="8" s="1"/>
  <c r="M6" i="8"/>
  <c r="O6" i="8" s="1"/>
  <c r="J6" i="8"/>
  <c r="K6" i="8" s="1"/>
  <c r="M40" i="8"/>
  <c r="O40" i="8" s="1"/>
  <c r="J40" i="8"/>
  <c r="K40" i="8" s="1"/>
  <c r="L32" i="3"/>
  <c r="L20" i="3"/>
  <c r="L51" i="3"/>
  <c r="L37" i="3"/>
  <c r="L30" i="3"/>
  <c r="L53" i="3"/>
  <c r="L27" i="3"/>
  <c r="L11" i="3"/>
  <c r="R22" i="3" l="1"/>
  <c r="R61" i="7"/>
  <c r="R42" i="3"/>
  <c r="R46" i="3"/>
  <c r="T10" i="7"/>
  <c r="U10" i="7" s="1"/>
  <c r="U68" i="3"/>
  <c r="R26" i="3"/>
  <c r="R51" i="7"/>
  <c r="U51" i="7" s="1"/>
  <c r="W4" i="3"/>
  <c r="W57" i="3"/>
  <c r="U57" i="8"/>
  <c r="X57" i="3" s="1"/>
  <c r="W19" i="3"/>
  <c r="U19" i="8"/>
  <c r="X19" i="3" s="1"/>
  <c r="W8" i="3"/>
  <c r="U8" i="8"/>
  <c r="X8" i="3" s="1"/>
  <c r="W36" i="3"/>
  <c r="U36" i="8"/>
  <c r="X36" i="3" s="1"/>
  <c r="W41" i="3"/>
  <c r="U41" i="8"/>
  <c r="X41" i="3" s="1"/>
  <c r="W7" i="3"/>
  <c r="U7" i="8"/>
  <c r="X7" i="3" s="1"/>
  <c r="W30" i="3"/>
  <c r="U30" i="8"/>
  <c r="X30" i="3" s="1"/>
  <c r="W38" i="3"/>
  <c r="U38" i="8"/>
  <c r="X38" i="3" s="1"/>
  <c r="W67" i="3"/>
  <c r="U67" i="8"/>
  <c r="X67" i="3" s="1"/>
  <c r="W51" i="3"/>
  <c r="U51" i="8"/>
  <c r="X51" i="3" s="1"/>
  <c r="W9" i="3"/>
  <c r="U9" i="8"/>
  <c r="X9" i="3" s="1"/>
  <c r="W20" i="3"/>
  <c r="U20" i="8"/>
  <c r="X20" i="3" s="1"/>
  <c r="W10" i="3"/>
  <c r="U10" i="8"/>
  <c r="X10" i="3" s="1"/>
  <c r="R68" i="8"/>
  <c r="T4" i="7"/>
  <c r="P4" i="3" s="1"/>
  <c r="R28" i="7"/>
  <c r="U28" i="7" s="1"/>
  <c r="W61" i="3"/>
  <c r="W13" i="3"/>
  <c r="R54" i="7"/>
  <c r="T62" i="7"/>
  <c r="U62" i="7" s="1"/>
  <c r="R14" i="7"/>
  <c r="U14" i="7" s="1"/>
  <c r="R57" i="7"/>
  <c r="U57" i="7" s="1"/>
  <c r="R3" i="7"/>
  <c r="U3" i="7" s="1"/>
  <c r="R40" i="7"/>
  <c r="U40" i="7" s="1"/>
  <c r="T7" i="7"/>
  <c r="P7" i="3" s="1"/>
  <c r="R26" i="7"/>
  <c r="U26" i="7" s="1"/>
  <c r="T45" i="7"/>
  <c r="U45" i="7" s="1"/>
  <c r="T13" i="7"/>
  <c r="U13" i="7" s="1"/>
  <c r="T52" i="7"/>
  <c r="U52" i="7" s="1"/>
  <c r="T21" i="7"/>
  <c r="P21" i="3" s="1"/>
  <c r="R20" i="7"/>
  <c r="U20" i="7" s="1"/>
  <c r="R56" i="7"/>
  <c r="U56" i="7" s="1"/>
  <c r="T24" i="7"/>
  <c r="U24" i="7" s="1"/>
  <c r="R65" i="7"/>
  <c r="U65" i="7" s="1"/>
  <c r="T37" i="7"/>
  <c r="U37" i="7" s="1"/>
  <c r="R32" i="7"/>
  <c r="U32" i="7" s="1"/>
  <c r="R16" i="7"/>
  <c r="U16" i="7" s="1"/>
  <c r="R5" i="7"/>
  <c r="U5" i="7" s="1"/>
  <c r="R27" i="7"/>
  <c r="U27" i="7" s="1"/>
  <c r="R53" i="7"/>
  <c r="U53" i="7" s="1"/>
  <c r="T6" i="7"/>
  <c r="P6" i="3" s="1"/>
  <c r="R30" i="7"/>
  <c r="U30" i="7" s="1"/>
  <c r="Q42" i="3"/>
  <c r="R25" i="7"/>
  <c r="U25" i="7" s="1"/>
  <c r="R49" i="7"/>
  <c r="U49" i="7" s="1"/>
  <c r="T33" i="7"/>
  <c r="P33" i="3" s="1"/>
  <c r="T58" i="7"/>
  <c r="U58" i="7" s="1"/>
  <c r="R9" i="7"/>
  <c r="U9" i="7" s="1"/>
  <c r="T11" i="7"/>
  <c r="P11" i="3" s="1"/>
  <c r="R18" i="7"/>
  <c r="U18" i="7" s="1"/>
  <c r="R66" i="7"/>
  <c r="U66" i="7" s="1"/>
  <c r="T8" i="7"/>
  <c r="P8" i="3" s="1"/>
  <c r="T48" i="7"/>
  <c r="P48" i="3" s="1"/>
  <c r="R60" i="7"/>
  <c r="U60" i="7" s="1"/>
  <c r="W22" i="3"/>
  <c r="R17" i="7"/>
  <c r="U17" i="7" s="1"/>
  <c r="R67" i="7"/>
  <c r="U67" i="7" s="1"/>
  <c r="Q22" i="3"/>
  <c r="T41" i="7"/>
  <c r="P41" i="3" s="1"/>
  <c r="T47" i="7"/>
  <c r="P47" i="3" s="1"/>
  <c r="T50" i="7"/>
  <c r="R46" i="7"/>
  <c r="U46" i="7" s="1"/>
  <c r="R34" i="7"/>
  <c r="T34" i="7"/>
  <c r="W28" i="3"/>
  <c r="W44" i="3"/>
  <c r="W18" i="3"/>
  <c r="W32" i="3"/>
  <c r="O68" i="8"/>
  <c r="W59" i="3"/>
  <c r="W63" i="3"/>
  <c r="W23" i="3"/>
  <c r="W39" i="3"/>
  <c r="W11" i="3"/>
  <c r="R42" i="7"/>
  <c r="U42" i="7" s="1"/>
  <c r="T38" i="7"/>
  <c r="P38" i="3" s="1"/>
  <c r="R38" i="7"/>
  <c r="W60" i="3"/>
  <c r="R22" i="7"/>
  <c r="U22" i="7" s="1"/>
  <c r="Q46" i="3"/>
  <c r="Q26" i="3"/>
  <c r="P66" i="3"/>
  <c r="N11" i="3"/>
  <c r="P65" i="3"/>
  <c r="U29" i="7"/>
  <c r="P29" i="3"/>
  <c r="P9" i="3"/>
  <c r="P39" i="3"/>
  <c r="U39" i="7"/>
  <c r="N51" i="3"/>
  <c r="P14" i="3"/>
  <c r="P31" i="3"/>
  <c r="U31" i="7"/>
  <c r="P28" i="3"/>
  <c r="N27" i="3"/>
  <c r="N30" i="3"/>
  <c r="Q30" i="3" s="1"/>
  <c r="P60" i="3"/>
  <c r="P51" i="3"/>
  <c r="P20" i="3"/>
  <c r="P16" i="3"/>
  <c r="N20" i="3"/>
  <c r="P63" i="3"/>
  <c r="U63" i="7"/>
  <c r="P5" i="3"/>
  <c r="P19" i="3"/>
  <c r="U19" i="7"/>
  <c r="N32" i="3"/>
  <c r="P23" i="3"/>
  <c r="U23" i="7"/>
  <c r="N53" i="3"/>
  <c r="N37" i="3"/>
  <c r="P12" i="3"/>
  <c r="U12" i="7"/>
  <c r="P67" i="3"/>
  <c r="P15" i="3"/>
  <c r="U15" i="7"/>
  <c r="P56" i="3"/>
  <c r="P54" i="3"/>
  <c r="U54" i="7"/>
  <c r="P44" i="3"/>
  <c r="U44" i="7"/>
  <c r="P32" i="3"/>
  <c r="P3" i="3"/>
  <c r="P36" i="3"/>
  <c r="U36" i="7"/>
  <c r="P55" i="3"/>
  <c r="U55" i="7"/>
  <c r="U61" i="7"/>
  <c r="P61" i="3"/>
  <c r="P59" i="3"/>
  <c r="U59" i="7"/>
  <c r="P53" i="3"/>
  <c r="P64" i="3"/>
  <c r="U64" i="7"/>
  <c r="P62" i="3"/>
  <c r="P25" i="3"/>
  <c r="P49" i="3"/>
  <c r="P43" i="3"/>
  <c r="U43" i="7"/>
  <c r="P18" i="3"/>
  <c r="P57" i="3"/>
  <c r="P17" i="3"/>
  <c r="P40" i="3"/>
  <c r="P27" i="3"/>
  <c r="P35" i="3"/>
  <c r="U35" i="7"/>
  <c r="W46" i="3"/>
  <c r="W64" i="3"/>
  <c r="W62" i="3"/>
  <c r="W42" i="3"/>
  <c r="W55" i="3"/>
  <c r="W35" i="3"/>
  <c r="W27" i="3"/>
  <c r="W31" i="3"/>
  <c r="W45" i="3"/>
  <c r="W21" i="3"/>
  <c r="W66" i="3"/>
  <c r="W25" i="3"/>
  <c r="W14" i="3"/>
  <c r="W15" i="3"/>
  <c r="W12" i="3"/>
  <c r="W43" i="3"/>
  <c r="W54" i="3"/>
  <c r="W58" i="3"/>
  <c r="W29" i="3"/>
  <c r="W17" i="3"/>
  <c r="W16" i="3"/>
  <c r="W5" i="3"/>
  <c r="W24" i="3"/>
  <c r="P10" i="3" l="1"/>
  <c r="R10" i="3" s="1"/>
  <c r="R11" i="3"/>
  <c r="P13" i="3"/>
  <c r="R13" i="3" s="1"/>
  <c r="R53" i="3"/>
  <c r="R27" i="3"/>
  <c r="N68" i="3"/>
  <c r="C7" i="10" s="1"/>
  <c r="X68" i="3"/>
  <c r="C9" i="10" s="1"/>
  <c r="R20" i="3"/>
  <c r="Q39" i="3"/>
  <c r="R39" i="3"/>
  <c r="Q64" i="3"/>
  <c r="R64" i="3"/>
  <c r="Q14" i="3"/>
  <c r="R14" i="3"/>
  <c r="Q41" i="3"/>
  <c r="R41" i="3"/>
  <c r="Q6" i="3"/>
  <c r="R6" i="3"/>
  <c r="R32" i="3"/>
  <c r="Q57" i="3"/>
  <c r="R57" i="3"/>
  <c r="Q56" i="3"/>
  <c r="R56" i="3"/>
  <c r="Q18" i="3"/>
  <c r="R18" i="3"/>
  <c r="Q36" i="3"/>
  <c r="R36" i="3"/>
  <c r="Q23" i="3"/>
  <c r="R23" i="3"/>
  <c r="Q66" i="3"/>
  <c r="R66" i="3"/>
  <c r="Q7" i="3"/>
  <c r="R7" i="3"/>
  <c r="Q43" i="3"/>
  <c r="R43" i="3"/>
  <c r="Q59" i="3"/>
  <c r="R59" i="3"/>
  <c r="Q67" i="3"/>
  <c r="R67" i="3"/>
  <c r="Q16" i="3"/>
  <c r="R16" i="3"/>
  <c r="Q3" i="3"/>
  <c r="R3" i="3"/>
  <c r="Q15" i="3"/>
  <c r="R15" i="3"/>
  <c r="Q13" i="3"/>
  <c r="Q35" i="3"/>
  <c r="R35" i="3"/>
  <c r="Q49" i="3"/>
  <c r="R49" i="3"/>
  <c r="Q61" i="3"/>
  <c r="R61" i="3"/>
  <c r="Q19" i="3"/>
  <c r="R19" i="3"/>
  <c r="Q28" i="3"/>
  <c r="R28" i="3"/>
  <c r="Q9" i="3"/>
  <c r="R9" i="3"/>
  <c r="Q4" i="3"/>
  <c r="R4" i="3"/>
  <c r="Q44" i="3"/>
  <c r="R44" i="3"/>
  <c r="Q5" i="3"/>
  <c r="R5" i="3"/>
  <c r="Q21" i="3"/>
  <c r="R21" i="3"/>
  <c r="R30" i="3"/>
  <c r="Q25" i="3"/>
  <c r="R25" i="3"/>
  <c r="Q12" i="3"/>
  <c r="R12" i="3"/>
  <c r="Q29" i="3"/>
  <c r="R29" i="3"/>
  <c r="Q33" i="3"/>
  <c r="R33" i="3"/>
  <c r="Q40" i="3"/>
  <c r="R40" i="3"/>
  <c r="Q62" i="3"/>
  <c r="R62" i="3"/>
  <c r="R51" i="3"/>
  <c r="Q48" i="3"/>
  <c r="R48" i="3"/>
  <c r="Q31" i="3"/>
  <c r="R31" i="3"/>
  <c r="Q17" i="3"/>
  <c r="R17" i="3"/>
  <c r="Q55" i="3"/>
  <c r="R55" i="3"/>
  <c r="Q54" i="3"/>
  <c r="R54" i="3"/>
  <c r="Q63" i="3"/>
  <c r="R63" i="3"/>
  <c r="Q60" i="3"/>
  <c r="R60" i="3"/>
  <c r="P37" i="3"/>
  <c r="R37" i="3" s="1"/>
  <c r="Q65" i="3"/>
  <c r="R65" i="3"/>
  <c r="Q38" i="3"/>
  <c r="R38" i="3"/>
  <c r="Q47" i="3"/>
  <c r="R47" i="3"/>
  <c r="Q8" i="3"/>
  <c r="R8" i="3"/>
  <c r="U4" i="7"/>
  <c r="U68" i="8"/>
  <c r="U7" i="7"/>
  <c r="P24" i="3"/>
  <c r="P52" i="3"/>
  <c r="U6" i="7"/>
  <c r="P45" i="3"/>
  <c r="U11" i="7"/>
  <c r="U8" i="7"/>
  <c r="U21" i="7"/>
  <c r="P58" i="3"/>
  <c r="U47" i="7"/>
  <c r="U33" i="7"/>
  <c r="U41" i="7"/>
  <c r="T68" i="7"/>
  <c r="U48" i="7"/>
  <c r="U50" i="7"/>
  <c r="P50" i="3"/>
  <c r="Q27" i="3"/>
  <c r="U34" i="7"/>
  <c r="P34" i="3"/>
  <c r="Q53" i="3"/>
  <c r="U38" i="7"/>
  <c r="Q51" i="3"/>
  <c r="R68" i="7"/>
  <c r="Q11" i="3"/>
  <c r="Q20" i="3"/>
  <c r="Q32" i="3"/>
  <c r="Q10" i="3" l="1"/>
  <c r="D9" i="10"/>
  <c r="Q37" i="3"/>
  <c r="Q58" i="3"/>
  <c r="R58" i="3"/>
  <c r="Q34" i="3"/>
  <c r="R34" i="3"/>
  <c r="Q52" i="3"/>
  <c r="R52" i="3"/>
  <c r="Q24" i="3"/>
  <c r="R24" i="3"/>
  <c r="P68" i="3"/>
  <c r="Q50" i="3"/>
  <c r="R50" i="3"/>
  <c r="Q45" i="3"/>
  <c r="R45" i="3"/>
  <c r="U68" i="7"/>
  <c r="R68" i="3" l="1"/>
  <c r="C8" i="10"/>
  <c r="D8" i="10" s="1"/>
</calcChain>
</file>

<file path=xl/sharedStrings.xml><?xml version="1.0" encoding="utf-8"?>
<sst xmlns="http://schemas.openxmlformats.org/spreadsheetml/2006/main" count="1636" uniqueCount="409">
  <si>
    <t>Provider CCN</t>
  </si>
  <si>
    <t>Hospital Name</t>
  </si>
  <si>
    <t>City</t>
  </si>
  <si>
    <t>State Code</t>
  </si>
  <si>
    <t>Cost of Uncompensated Care</t>
  </si>
  <si>
    <t>Total Unreimbursed and Uncompensated Care</t>
  </si>
  <si>
    <t>Inpatient Total Charges</t>
  </si>
  <si>
    <t>Outpatient Total Charges</t>
  </si>
  <si>
    <t>Combined Outpatient + Inpatient Total Charges</t>
  </si>
  <si>
    <t>Net Income</t>
  </si>
  <si>
    <t>Cost To Charge Ratio</t>
  </si>
  <si>
    <t>Net Revenue from Medicaid</t>
  </si>
  <si>
    <t>Medicaid Charges</t>
  </si>
  <si>
    <t>CNN</t>
  </si>
  <si>
    <t>Wage Index 2023</t>
  </si>
  <si>
    <t>WI Adjustment Factor</t>
  </si>
  <si>
    <t>360189</t>
  </si>
  <si>
    <t>MADISON HEALTH</t>
  </si>
  <si>
    <t>LONDON</t>
  </si>
  <si>
    <t>OH</t>
  </si>
  <si>
    <t>360351</t>
  </si>
  <si>
    <t>CRYSTAL CLINIC ORTHOPAEDIC CENTER</t>
  </si>
  <si>
    <t>AKRON</t>
  </si>
  <si>
    <t>360092</t>
  </si>
  <si>
    <t>MEMORIAL HOSPITAL OF UNION COUNTY</t>
  </si>
  <si>
    <t>MARYSVILLE</t>
  </si>
  <si>
    <t>360263</t>
  </si>
  <si>
    <t>INSTITUTE FOR ORTHOPAEDIC SURGERY</t>
  </si>
  <si>
    <t>LIMA</t>
  </si>
  <si>
    <t>360091</t>
  </si>
  <si>
    <t>MEDINA HOSPITAL</t>
  </si>
  <si>
    <t>MEDINA</t>
  </si>
  <si>
    <t>360355</t>
  </si>
  <si>
    <t>OHIO VALLEY MEDICAL CENTER</t>
  </si>
  <si>
    <t>SPRINGFIELD</t>
  </si>
  <si>
    <t>360236</t>
  </si>
  <si>
    <t>CLERMONT MERCY HOSPITAL</t>
  </si>
  <si>
    <t>BATAVIA</t>
  </si>
  <si>
    <t>360259</t>
  </si>
  <si>
    <t>BAY PARK COMMUNITY HOSPITAL</t>
  </si>
  <si>
    <t>OREGON</t>
  </si>
  <si>
    <t>360364</t>
  </si>
  <si>
    <t>CLEVELAND CLINIC AVON HOSPITAL</t>
  </si>
  <si>
    <t>AVON</t>
  </si>
  <si>
    <t>360056</t>
  </si>
  <si>
    <t>MERCY HEALTH - FAIRFIELD HOSPITAL</t>
  </si>
  <si>
    <t>FAIRFIELD</t>
  </si>
  <si>
    <t>360076</t>
  </si>
  <si>
    <t>ATRIUM MEDICAL CENTER</t>
  </si>
  <si>
    <t>FRANKLIN</t>
  </si>
  <si>
    <t>360161</t>
  </si>
  <si>
    <t>ST. JOSEPH HEALTH CENTER</t>
  </si>
  <si>
    <t>WARREN</t>
  </si>
  <si>
    <t>360172</t>
  </si>
  <si>
    <t>MERCY REGIONAL MEDICAL CENTER</t>
  </si>
  <si>
    <t>LORAIN</t>
  </si>
  <si>
    <t>360174</t>
  </si>
  <si>
    <t>UPPER VALLEY MEDICAL CENTER</t>
  </si>
  <si>
    <t>TROY</t>
  </si>
  <si>
    <t>360218</t>
  </si>
  <si>
    <t>LICKING MEMORIAL HOSPITAL</t>
  </si>
  <si>
    <t>NEWARK</t>
  </si>
  <si>
    <t>360234</t>
  </si>
  <si>
    <t>MERCY HEALTH WEST HOSPITAL</t>
  </si>
  <si>
    <t>CINCINNATI</t>
  </si>
  <si>
    <t>360276</t>
  </si>
  <si>
    <t>ST ELIZABETH BOARDMAN HEALTH CTR</t>
  </si>
  <si>
    <t>YOUNGSTOWN</t>
  </si>
  <si>
    <t>360016</t>
  </si>
  <si>
    <t>JEWISH HOSPITAL OF CINCINNATI</t>
  </si>
  <si>
    <t>360041</t>
  </si>
  <si>
    <t>UH PARMA MEDICAL CENTER</t>
  </si>
  <si>
    <t>PARMA</t>
  </si>
  <si>
    <t>360055</t>
  </si>
  <si>
    <t>TRUMBULL MEMORIAL HOSPITAL</t>
  </si>
  <si>
    <t>360072</t>
  </si>
  <si>
    <t>FAIRFIELD MEDICAL CENTER</t>
  </si>
  <si>
    <t>LANCASTER</t>
  </si>
  <si>
    <t>360132</t>
  </si>
  <si>
    <t>KETTERING HEALTH HAMILTON</t>
  </si>
  <si>
    <t>HAMILTON</t>
  </si>
  <si>
    <t>360352</t>
  </si>
  <si>
    <t>THE SURGICAL HOSPITAL AT SOUTHWOODS</t>
  </si>
  <si>
    <t>360367</t>
  </si>
  <si>
    <t>LAKE HEALTH BEACHWOOD MEDICAL CENTER</t>
  </si>
  <si>
    <t>BEACHWOOD</t>
  </si>
  <si>
    <t>360368</t>
  </si>
  <si>
    <t>KETTERING HEALTH TROY</t>
  </si>
  <si>
    <t>360080</t>
  </si>
  <si>
    <t>EAST OHIO HOSPITAL  LLC</t>
  </si>
  <si>
    <t>MARTINS FERRY</t>
  </si>
  <si>
    <t>360098</t>
  </si>
  <si>
    <t>LAKE HOSPITAL SYSTEM</t>
  </si>
  <si>
    <t>CONCORD</t>
  </si>
  <si>
    <t>360155</t>
  </si>
  <si>
    <t>SOUTHWEST GENERAL HEALTH CENTER</t>
  </si>
  <si>
    <t>MIDDLEBURG HEIGHTS</t>
  </si>
  <si>
    <t>360245</t>
  </si>
  <si>
    <t>GLENBEIGH HEALTH SOURCES</t>
  </si>
  <si>
    <t>ROCK CREEK</t>
  </si>
  <si>
    <t>360026</t>
  </si>
  <si>
    <t>GREENE MEMORIAL HOSPITAL  INC.</t>
  </si>
  <si>
    <t>XENIA</t>
  </si>
  <si>
    <t>360078</t>
  </si>
  <si>
    <t>UH PORTAGE MEDICAL CENTER</t>
  </si>
  <si>
    <t>RAVENNA</t>
  </si>
  <si>
    <t>360145</t>
  </si>
  <si>
    <t>UH ELYRIA MEDICAL CENTER</t>
  </si>
  <si>
    <t>ELYRIA</t>
  </si>
  <si>
    <t>360359</t>
  </si>
  <si>
    <t>UH AHUJA MEDICAL CENTER</t>
  </si>
  <si>
    <t>360001</t>
  </si>
  <si>
    <t>MERCY HOSPITAL ANDERSON</t>
  </si>
  <si>
    <t>360247</t>
  </si>
  <si>
    <t>PARKSIDE BEHAVIORAL HEALTHCARE ACQUI</t>
  </si>
  <si>
    <t>GAHANNA</t>
  </si>
  <si>
    <t>360006</t>
  </si>
  <si>
    <t>RIVERSIDE METHODIST HOSPITAL</t>
  </si>
  <si>
    <t>COLUMBUS</t>
  </si>
  <si>
    <t>360012</t>
  </si>
  <si>
    <t>ST. ANNS HOSPITAL</t>
  </si>
  <si>
    <t>WESTERVILLE</t>
  </si>
  <si>
    <t>360029</t>
  </si>
  <si>
    <t>WOOD COUNTY HOSPITAL</t>
  </si>
  <si>
    <t>BOWLING GREEN</t>
  </si>
  <si>
    <t>360035</t>
  </si>
  <si>
    <t>MOUNT CARMEL HEALTH</t>
  </si>
  <si>
    <t>360163</t>
  </si>
  <si>
    <t>THE CHRIST HOSPITAL</t>
  </si>
  <si>
    <t>360170</t>
  </si>
  <si>
    <t>BERGER HOSPITAL</t>
  </si>
  <si>
    <t>CIRCLEVILLE</t>
  </si>
  <si>
    <t>360210</t>
  </si>
  <si>
    <t>GRADY MEMORIAL HOSPITAL</t>
  </si>
  <si>
    <t>DELAWARE</t>
  </si>
  <si>
    <t>360266</t>
  </si>
  <si>
    <t>MOUNT CARMEL NEW ALBANY HOSPITAL</t>
  </si>
  <si>
    <t>NEW ALBANY</t>
  </si>
  <si>
    <t>360358</t>
  </si>
  <si>
    <t>DILEY RIDGE MEDICAL CENTER</t>
  </si>
  <si>
    <t>CANAL WINCHESTER</t>
  </si>
  <si>
    <t>360017</t>
  </si>
  <si>
    <t>GRANT MEDICAL CENTER</t>
  </si>
  <si>
    <t>360134</t>
  </si>
  <si>
    <t>GOOD SAMARITAN HOSPITAL</t>
  </si>
  <si>
    <t>360152</t>
  </si>
  <si>
    <t>DOCTORS HOSPITAL</t>
  </si>
  <si>
    <t>360179</t>
  </si>
  <si>
    <t>BETHESDA HOSPITAL</t>
  </si>
  <si>
    <t>360211</t>
  </si>
  <si>
    <t>TRINITY HOSPITAL HOLDING COMPANY</t>
  </si>
  <si>
    <t>STEUBENVILLE</t>
  </si>
  <si>
    <t>360365</t>
  </si>
  <si>
    <t>AVITA ONTARIO HOSPITAL</t>
  </si>
  <si>
    <t>ONTARIO</t>
  </si>
  <si>
    <t>360046</t>
  </si>
  <si>
    <t>MCCULLOUGH-HYDE MEMORIAL HOSPITAL</t>
  </si>
  <si>
    <t>OXFORD</t>
  </si>
  <si>
    <t>360354</t>
  </si>
  <si>
    <t>WEST CHESTER HOSPITAL  LLC</t>
  </si>
  <si>
    <t>WEST CHESTER</t>
  </si>
  <si>
    <t xml:space="preserve"> </t>
  </si>
  <si>
    <t>Inputs/Assumptions</t>
  </si>
  <si>
    <t>Value</t>
  </si>
  <si>
    <t>Average WI</t>
  </si>
  <si>
    <t>Does WI&gt;1?</t>
  </si>
  <si>
    <t>Operating Standards Amounts By CMS</t>
  </si>
  <si>
    <t>Labor Related WI&gt;1</t>
  </si>
  <si>
    <t>Non-Labor Related WI&gt;1</t>
  </si>
  <si>
    <t>Labor Related WI&lt;=1</t>
  </si>
  <si>
    <t>Non-Labor Related WI&lt;=1</t>
  </si>
  <si>
    <t>Capital Standard Federal Rate</t>
  </si>
  <si>
    <t>Operating Base Rate (Labor*WI + Non-labor)</t>
  </si>
  <si>
    <t>Average CCR</t>
  </si>
  <si>
    <t>Total Admission Cost</t>
  </si>
  <si>
    <t>Fixed Cost/admit</t>
  </si>
  <si>
    <t>Variable Cost/day</t>
  </si>
  <si>
    <t xml:space="preserve">MS-DRG </t>
  </si>
  <si>
    <t>329</t>
  </si>
  <si>
    <t>853</t>
  </si>
  <si>
    <t>981</t>
  </si>
  <si>
    <t>453</t>
  </si>
  <si>
    <t>023</t>
  </si>
  <si>
    <t>025</t>
  </si>
  <si>
    <t>330</t>
  </si>
  <si>
    <t>177</t>
  </si>
  <si>
    <t>286</t>
  </si>
  <si>
    <t>871</t>
  </si>
  <si>
    <t>208</t>
  </si>
  <si>
    <t>698</t>
  </si>
  <si>
    <t>070</t>
  </si>
  <si>
    <t>388</t>
  </si>
  <si>
    <t>064</t>
  </si>
  <si>
    <t>377</t>
  </si>
  <si>
    <t>481</t>
  </si>
  <si>
    <t>100</t>
  </si>
  <si>
    <t>682</t>
  </si>
  <si>
    <t>280</t>
  </si>
  <si>
    <t>193</t>
  </si>
  <si>
    <t>522</t>
  </si>
  <si>
    <t>175</t>
  </si>
  <si>
    <t>291</t>
  </si>
  <si>
    <t>637</t>
  </si>
  <si>
    <t>689</t>
  </si>
  <si>
    <t>057</t>
  </si>
  <si>
    <t>246</t>
  </si>
  <si>
    <t>454</t>
  </si>
  <si>
    <t>178</t>
  </si>
  <si>
    <t>847</t>
  </si>
  <si>
    <t>917</t>
  </si>
  <si>
    <t>872</t>
  </si>
  <si>
    <t>189</t>
  </si>
  <si>
    <t>308</t>
  </si>
  <si>
    <t>418</t>
  </si>
  <si>
    <t>071</t>
  </si>
  <si>
    <t>640</t>
  </si>
  <si>
    <t>603</t>
  </si>
  <si>
    <t>683</t>
  </si>
  <si>
    <t>378</t>
  </si>
  <si>
    <t>394</t>
  </si>
  <si>
    <t>389</t>
  </si>
  <si>
    <t>065</t>
  </si>
  <si>
    <t>460</t>
  </si>
  <si>
    <t>690</t>
  </si>
  <si>
    <t>552</t>
  </si>
  <si>
    <t>812</t>
  </si>
  <si>
    <t>101</t>
  </si>
  <si>
    <t>392</t>
  </si>
  <si>
    <t>641</t>
  </si>
  <si>
    <t>948</t>
  </si>
  <si>
    <t>455</t>
  </si>
  <si>
    <t>281</t>
  </si>
  <si>
    <t>309</t>
  </si>
  <si>
    <t>390</t>
  </si>
  <si>
    <t>312</t>
  </si>
  <si>
    <t>287</t>
  </si>
  <si>
    <t>247</t>
  </si>
  <si>
    <t>069</t>
  </si>
  <si>
    <t>027</t>
  </si>
  <si>
    <t>470</t>
  </si>
  <si>
    <t>269</t>
  </si>
  <si>
    <t>483</t>
  </si>
  <si>
    <t>621</t>
  </si>
  <si>
    <t>FY 2023 Final Post-Acute DRG</t>
  </si>
  <si>
    <t>FY 2023 Final Special Pay DRG</t>
  </si>
  <si>
    <t>MDC</t>
  </si>
  <si>
    <t>MDC Group</t>
  </si>
  <si>
    <t>TYPE</t>
  </si>
  <si>
    <t>MS-DRG Title</t>
  </si>
  <si>
    <t>Weights</t>
  </si>
  <si>
    <t>Geometric mean LOS</t>
  </si>
  <si>
    <t>Operating payment per discharge</t>
  </si>
  <si>
    <t>Capital payment per discharge</t>
  </si>
  <si>
    <t>Total base payment per discharge</t>
  </si>
  <si>
    <t>Total Cost per Admission</t>
  </si>
  <si>
    <t>Net Margin/Dis</t>
  </si>
  <si>
    <t>Discharge Volume</t>
  </si>
  <si>
    <t>Total net Margin</t>
  </si>
  <si>
    <t>New Volume</t>
  </si>
  <si>
    <t>New Total Net Margin</t>
  </si>
  <si>
    <t>% Change in Total Margin</t>
  </si>
  <si>
    <t>New LOS</t>
  </si>
  <si>
    <t>New Net Margin/Dis</t>
  </si>
  <si>
    <t>Yes</t>
  </si>
  <si>
    <t>01</t>
  </si>
  <si>
    <t>MDC 01 Nervous System</t>
  </si>
  <si>
    <t>SURG</t>
  </si>
  <si>
    <t>CRANIOTOMY WITH MAJOR DEVICE IMPLANT OR ACUTE COMPLEX CNS PRINCIPAL DIAGNOSIS WITH MCC OR CHEMOTHERAPY IMPLANT OR EPILEPSY WITH NEUROSTIMULATOR</t>
  </si>
  <si>
    <t>No</t>
  </si>
  <si>
    <t>CRANIOTOMY AND ENDOVASCULAR INTRACRANIAL PROCEDURES WITH MCC</t>
  </si>
  <si>
    <t>CRANIOTOMY AND ENDOVASCULAR INTRACRANIAL PROCEDURES WITHOUT CC/MCC</t>
  </si>
  <si>
    <t>MED</t>
  </si>
  <si>
    <t>DEGENERATIVE NERVOUS SYSTEM DISORDERS WITHOUT MCC</t>
  </si>
  <si>
    <t>INTRACRANIAL HEMORRHAGE OR CEREBRAL INFARCTION WITH MCC</t>
  </si>
  <si>
    <t>INTRACRANIAL HEMORRHAGE OR CEREBRAL INFARCTION WITH CC OR TPA IN 24 HOURS</t>
  </si>
  <si>
    <t>TRANSIENT ISCHEMIA WITHOUT THROMBOLYTIC</t>
  </si>
  <si>
    <t>NONSPECIFIC CEREBROVASCULAR DISORDERS WITH MCC</t>
  </si>
  <si>
    <t>NONSPECIFIC CEREBROVASCULAR DISORDERS WITH CC</t>
  </si>
  <si>
    <t>SEIZURES WITH MCC</t>
  </si>
  <si>
    <t>SEIZURES WITHOUT MCC</t>
  </si>
  <si>
    <t>04</t>
  </si>
  <si>
    <t>MDC 04 Respiratory System</t>
  </si>
  <si>
    <t>PULMONARY EMBOLISM WITH MCC OR ACUTE COR PULMONALE</t>
  </si>
  <si>
    <t>RESPIRATORY INFECTIONS AND INFLAMMATIONS WITH MCC</t>
  </si>
  <si>
    <t>RESPIRATORY INFECTIONS AND INFLAMMATIONS WITH CC</t>
  </si>
  <si>
    <t>PULMONARY EDEMA AND RESPIRATORY FAILURE</t>
  </si>
  <si>
    <t>SIMPLE PNEUMONIA AND PLEURISY WITH MCC</t>
  </si>
  <si>
    <t>RESPIRATORY SYSTEM DIAGNOSIS WITH VENTILATOR SUPPORT &lt;=96 HOURS</t>
  </si>
  <si>
    <t>05</t>
  </si>
  <si>
    <t>MDC 05 Circulatory System</t>
  </si>
  <si>
    <t>PERCUTANEOUS CARDIOVASCULAR PROCEDURES WITH DRUG-ELUTING STENT WITH MCC OR 4+ ARTERIES OR STENTS</t>
  </si>
  <si>
    <t>PERCUTANEOUS CARDIOVASCULAR PROCEDURES WITH DRUG-ELUTING STENT WITHOUT MCC</t>
  </si>
  <si>
    <t>AORTIC AND HEART ASSIST PROCEDURES EXCEPT PULSATION BALLOON WITHOUT MCC</t>
  </si>
  <si>
    <t>ACUTE MYOCARDIAL INFARCTION, DISCHARGED ALIVE WITH MCC</t>
  </si>
  <si>
    <t>ACUTE MYOCARDIAL INFARCTION, DISCHARGED ALIVE WITH CC</t>
  </si>
  <si>
    <t>CIRCULATORY DISORDERS EXCEPT AMI, WITH CARDIAC CATHETERIZATION WITH MCC</t>
  </si>
  <si>
    <t>CIRCULATORY DISORDERS EXCEPT AMI, WITH CARDIAC CATHETERIZATION WITHOUT MCC</t>
  </si>
  <si>
    <t>HEART FAILURE AND SHOCK WITH MCC</t>
  </si>
  <si>
    <t>CARDIAC ARRHYTHMIA AND CONDUCTION DISORDERS WITH MCC</t>
  </si>
  <si>
    <t>CARDIAC ARRHYTHMIA AND CONDUCTION DISORDERS WITH CC</t>
  </si>
  <si>
    <t>SYNCOPE AND COLLAPSE</t>
  </si>
  <si>
    <t>06</t>
  </si>
  <si>
    <t>MDC 06 Digestive System</t>
  </si>
  <si>
    <t>MAJOR SMALL AND LARGE BOWEL PROCEDURES WITH MCC</t>
  </si>
  <si>
    <t>MAJOR SMALL AND LARGE BOWEL PROCEDURES WITH CC</t>
  </si>
  <si>
    <t>GASTROINTESTINAL HEMORRHAGE WITH MCC</t>
  </si>
  <si>
    <t>GASTROINTESTINAL HEMORRHAGE WITH CC</t>
  </si>
  <si>
    <t>GASTROINTESTINAL OBSTRUCTION WITH MCC</t>
  </si>
  <si>
    <t>GASTROINTESTINAL OBSTRUCTION WITH CC</t>
  </si>
  <si>
    <t>GASTROINTESTINAL OBSTRUCTION WITHOUT CC/MCC</t>
  </si>
  <si>
    <t>ESOPHAGITIS, GASTROENTERITIS AND MISCELLANEOUS DIGESTIVE DISORDERS WITHOUT MCC</t>
  </si>
  <si>
    <t>OTHER DIGESTIVE SYSTEM DIAGNOSES WITH CC</t>
  </si>
  <si>
    <t>07</t>
  </si>
  <si>
    <t>MDC 07 Hepatobiliary System and Pancreas</t>
  </si>
  <si>
    <t>LAPAROSCOPIC CHOLECYSTECTOMY WITHOUT C.D.E. WITH CC</t>
  </si>
  <si>
    <t>08</t>
  </si>
  <si>
    <t>MDC 08 the Musculoskeletal System</t>
  </si>
  <si>
    <t>COMBINED ANTERIOR AND POSTERIOR SPINAL FUSION WITH MCC</t>
  </si>
  <si>
    <t>COMBINED ANTERIOR AND POSTERIOR SPINAL FUSION WITH CC</t>
  </si>
  <si>
    <t>COMBINED ANTERIOR AND POSTERIOR SPINAL FUSION WITHOUT CC/MCC</t>
  </si>
  <si>
    <t>SPINAL FUSION EXCEPT CERVICAL WITHOUT MCC</t>
  </si>
  <si>
    <t>MAJOR HIP AND KNEE JOINT REPLACEMENT OR REATTACHMENT OF LOWER EXTREMITY WITHOUT MCC</t>
  </si>
  <si>
    <t>HIP AND FEMUR PROCEDURES EXCEPT MAJOR JOINT WITH CC</t>
  </si>
  <si>
    <t>MAJOR JOINT OR LIMB REATTACHMENT PROCEDURES OF UPPER EXTREMITIES</t>
  </si>
  <si>
    <t>HIP REPLACEMENT WITH PRINCIPAL DIAGNOSIS OF HIP FRACTURE WITHOUT MCC</t>
  </si>
  <si>
    <t>MEDICAL BACK PROBLEMS WITHOUT MCC</t>
  </si>
  <si>
    <t>09</t>
  </si>
  <si>
    <t>MDC 09 Skin, Subcutaneous Tissue and Breast</t>
  </si>
  <si>
    <t>CELLULITIS WITHOUT MCC</t>
  </si>
  <si>
    <t>10</t>
  </si>
  <si>
    <t>MDC 10 Endocrine, Nutritional and Metabolic</t>
  </si>
  <si>
    <t>O.R. PROCEDURES FOR OBESITY WITHOUT CC/MCC</t>
  </si>
  <si>
    <t>DIABETES WITH MCC</t>
  </si>
  <si>
    <t>MISCELLANEOUS DISORDERS OF NUTRITION, METABOLISM, FLUIDS AND ELECTROLYTES WITH MCC</t>
  </si>
  <si>
    <t>MISCELLANEOUS DISORDERS OF NUTRITION, METABOLISM, FLUIDS AND ELECTROLYTES WITHOUT MCC</t>
  </si>
  <si>
    <t>11</t>
  </si>
  <si>
    <t>MDC 11 Kidney and Urinary Tract</t>
  </si>
  <si>
    <t>RENAL FAILURE WITH MCC</t>
  </si>
  <si>
    <t>RENAL FAILURE WITH CC</t>
  </si>
  <si>
    <t>KIDNEY AND URINARY TRACT INFECTIONS WITH MCC</t>
  </si>
  <si>
    <t>KIDNEY AND URINARY TRACT INFECTIONS WITHOUT MCC</t>
  </si>
  <si>
    <t>OTHER KIDNEY AND URINARY TRACT DIAGNOSES WITH MCC</t>
  </si>
  <si>
    <t>16</t>
  </si>
  <si>
    <t>MDC 16 Blood, Blood Forming Organs and Immunologic</t>
  </si>
  <si>
    <t>RED BLOOD CELL DISORDERS WITHOUT MCC</t>
  </si>
  <si>
    <t>17</t>
  </si>
  <si>
    <t>MDC 17 Myeloproliferative diseases and Poorly Differentiated Neoplasms</t>
  </si>
  <si>
    <t>CHEMOTHERAPY WITHOUT ACUTE LEUKEMIA AS SECONDARY DIAGNOSIS WITH CC</t>
  </si>
  <si>
    <t>18</t>
  </si>
  <si>
    <t>MDC 18 Infectious and Parasitic</t>
  </si>
  <si>
    <t>INFECTIOUS AND PARASITIC DISEASES WITH O.R. PROCEDURES WITH MCC</t>
  </si>
  <si>
    <t>SEPTICEMIA OR SEVERE SEPSIS WITHOUT MV &gt;96 HOURS WITH MCC</t>
  </si>
  <si>
    <t>SEPTICEMIA OR SEVERE SEPSIS WITHOUT MV &gt;96 HOURS WITHOUT MCC</t>
  </si>
  <si>
    <t>21</t>
  </si>
  <si>
    <t>MDC 21 Injuries, Poisonings and Toxic Effects of Drugs</t>
  </si>
  <si>
    <t>POISONING AND TOXIC EFFECTS OF DRUGS WITH MCC</t>
  </si>
  <si>
    <t>23</t>
  </si>
  <si>
    <t>MDC 23 Factors Influencing Health Status and Other Contacts With Health Services</t>
  </si>
  <si>
    <t>SIGNS AND SYMPTOMS WITHOUT MCC</t>
  </si>
  <si>
    <t xml:space="preserve"> 00</t>
  </si>
  <si>
    <t>MDC 00  Procedures &amp; Diagnoses Not Elsewhere Classified</t>
  </si>
  <si>
    <t>EXTENSIVE O.R. PROCEDURES UNRELATED TO PRINCIPAL DIAGNOSIS WITH MCC</t>
  </si>
  <si>
    <t>New Total net Margin</t>
  </si>
  <si>
    <t>Rndrng_Prvdr_CCN</t>
  </si>
  <si>
    <t>Rndrng_Prvdr_Org_Name</t>
  </si>
  <si>
    <t>Rndrng_Prvdr_City</t>
  </si>
  <si>
    <t>Rndrng_Prvdr_State_Abrvtn</t>
  </si>
  <si>
    <t>DRG_Cd</t>
  </si>
  <si>
    <t>DRG_Cd_c</t>
  </si>
  <si>
    <t>DRG_Desc</t>
  </si>
  <si>
    <t>Tot_Dschrgs</t>
  </si>
  <si>
    <t>Avg_Submtd_Cvrd_Chrg</t>
  </si>
  <si>
    <t>Avg_Tot_Pymt_Amt</t>
  </si>
  <si>
    <t>Avg_Mdcr_Pymt_Amt</t>
  </si>
  <si>
    <t>Good Samaritan Hospital</t>
  </si>
  <si>
    <t>Cincinnati</t>
  </si>
  <si>
    <t>CRANIOTOMY WITH MAJOR DEVICE IMPLANT OR ACUTE COMPLEX CNS PRINCIPAL DIAGNOSIS WITH MCC O</t>
  </si>
  <si>
    <t>PERCUTANEOUS CARDIOVASCULAR PROCEDURES WITH DRUG-ELUTING STENT WITH MCC OR 4+ ARTERIES O</t>
  </si>
  <si>
    <t>00</t>
  </si>
  <si>
    <t>% In Cost/Dis</t>
  </si>
  <si>
    <t>Baseline Data</t>
  </si>
  <si>
    <t>LOS Reduction Scenario</t>
  </si>
  <si>
    <t>Volume Shock Scenario</t>
  </si>
  <si>
    <t>Admission Drop Scenario 8%</t>
  </si>
  <si>
    <t>New Total net Margin2</t>
  </si>
  <si>
    <t>Cost Saving $/DRG Volume</t>
  </si>
  <si>
    <t>New Total Cost/Discharge</t>
  </si>
  <si>
    <t>%∆ In Cost/Dis</t>
  </si>
  <si>
    <t>Operating Payment/ Discharge</t>
  </si>
  <si>
    <t>Capital Payment/ Discharge</t>
  </si>
  <si>
    <t>Ohio Urban Hospitals Financial</t>
  </si>
  <si>
    <t>Input</t>
  </si>
  <si>
    <r>
      <t xml:space="preserve">Medicare DRG Profatibility &amp; Sensitivity Analysis
</t>
    </r>
    <r>
      <rPr>
        <b/>
        <sz val="16"/>
        <color rgb="FFE3AC01"/>
        <rFont val="Arial"/>
        <family val="2"/>
      </rPr>
      <t>Good Samiritan Hospital FY2023</t>
    </r>
  </si>
  <si>
    <t>Master Table</t>
  </si>
  <si>
    <t>FY2023 Baseline</t>
  </si>
  <si>
    <t>Admission Drop</t>
  </si>
  <si>
    <t>LOS Reduction</t>
  </si>
  <si>
    <t>Net Margin %∆ From Baseline</t>
  </si>
  <si>
    <t>Cost/ Discharge</t>
  </si>
  <si>
    <t>Base Payment/ Discharge</t>
  </si>
  <si>
    <t>New Net Gain (Loss) In Margin</t>
  </si>
  <si>
    <t>New Cost/Discharge</t>
  </si>
  <si>
    <t>Total Net Margin</t>
  </si>
  <si>
    <t>Output Summary &amp; Visualization</t>
  </si>
  <si>
    <t>Output &amp; Summary</t>
  </si>
  <si>
    <t>SC1: Admission Drop Scenario</t>
  </si>
  <si>
    <t>SC2: LOS Reduce Scenario</t>
  </si>
  <si>
    <t>Good Samaritan Hospital Data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</si>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</sst>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"/>
    <numFmt numFmtId="167" formatCode="0.0"/>
    <numFmt numFmtId="168" formatCode="_(&quot;$&quot;* #,##0_);_(&quot;$&quot;* \(#,##0\);_(&quot;$&quot;* &quot;-&quot;??_);_(@_)"/>
    <numFmt numFmtId="169" formatCode="0.0%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color rgb="FFFFFFFF"/>
      <name val="Calibri"/>
      <family val="2"/>
    </font>
    <font>
      <b/>
      <sz val="14"/>
      <color rgb="FFFFFFFF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0"/>
      <name val="Arial"/>
      <family val="2"/>
    </font>
    <font>
      <b/>
      <sz val="18"/>
      <color theme="0"/>
      <name val="Arial"/>
      <family val="2"/>
    </font>
    <font>
      <b/>
      <sz val="16"/>
      <color rgb="FFE3AC0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9100"/>
        <bgColor indexed="64"/>
      </patternFill>
    </fill>
    <fill>
      <patternFill patternType="solid">
        <fgColor rgb="FF2A609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E3AC01"/>
      </left>
      <right/>
      <top style="medium">
        <color rgb="FFE3AC01"/>
      </top>
      <bottom/>
      <diagonal/>
    </border>
    <border>
      <left/>
      <right/>
      <top style="medium">
        <color rgb="FFE3AC01"/>
      </top>
      <bottom/>
      <diagonal/>
    </border>
    <border>
      <left/>
      <right style="medium">
        <color rgb="FFE3AC01"/>
      </right>
      <top style="medium">
        <color rgb="FFE3AC01"/>
      </top>
      <bottom/>
      <diagonal/>
    </border>
    <border>
      <left style="medium">
        <color rgb="FFE3AC01"/>
      </left>
      <right/>
      <top/>
      <bottom/>
      <diagonal/>
    </border>
    <border>
      <left/>
      <right style="medium">
        <color rgb="FFE3AC01"/>
      </right>
      <top/>
      <bottom/>
      <diagonal/>
    </border>
    <border>
      <left style="medium">
        <color rgb="FFE3AC01"/>
      </left>
      <right/>
      <top/>
      <bottom style="medium">
        <color rgb="FFE3AC01"/>
      </bottom>
      <diagonal/>
    </border>
    <border>
      <left/>
      <right/>
      <top/>
      <bottom style="medium">
        <color rgb="FFE3AC01"/>
      </bottom>
      <diagonal/>
    </border>
    <border>
      <left/>
      <right style="medium">
        <color rgb="FFE3AC01"/>
      </right>
      <top/>
      <bottom style="medium">
        <color rgb="FFE3AC01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7" fillId="0" borderId="0" xfId="0" applyFont="1"/>
    <xf numFmtId="49" fontId="0" fillId="0" borderId="0" xfId="0" applyNumberFormat="1"/>
    <xf numFmtId="167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167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/>
    <xf numFmtId="10" fontId="3" fillId="0" borderId="0" xfId="2" applyNumberFormat="1" applyFont="1"/>
    <xf numFmtId="164" fontId="4" fillId="0" borderId="0" xfId="0" applyNumberFormat="1" applyFont="1"/>
    <xf numFmtId="0" fontId="8" fillId="2" borderId="1" xfId="0" applyFont="1" applyFill="1" applyBorder="1" applyAlignment="1">
      <alignment horizontal="center" vertical="top"/>
    </xf>
    <xf numFmtId="166" fontId="3" fillId="0" borderId="0" xfId="0" applyNumberFormat="1" applyFont="1"/>
    <xf numFmtId="2" fontId="3" fillId="0" borderId="0" xfId="0" applyNumberFormat="1" applyFont="1"/>
    <xf numFmtId="0" fontId="13" fillId="0" borderId="0" xfId="0" applyFont="1"/>
    <xf numFmtId="43" fontId="13" fillId="0" borderId="0" xfId="0" applyNumberFormat="1" applyFont="1"/>
    <xf numFmtId="49" fontId="3" fillId="0" borderId="0" xfId="0" applyNumberFormat="1" applyFont="1"/>
    <xf numFmtId="167" fontId="3" fillId="0" borderId="0" xfId="0" applyNumberFormat="1" applyFont="1"/>
    <xf numFmtId="0" fontId="10" fillId="0" borderId="0" xfId="0" applyFont="1"/>
    <xf numFmtId="167" fontId="10" fillId="0" borderId="0" xfId="0" applyNumberFormat="1" applyFont="1"/>
    <xf numFmtId="0" fontId="1" fillId="0" borderId="0" xfId="0" applyFont="1" applyAlignment="1">
      <alignment horizontal="center" vertical="center"/>
    </xf>
    <xf numFmtId="164" fontId="19" fillId="0" borderId="0" xfId="0" applyNumberFormat="1" applyFont="1"/>
    <xf numFmtId="164" fontId="13" fillId="0" borderId="0" xfId="1" applyNumberFormat="1" applyFont="1" applyBorder="1"/>
    <xf numFmtId="0" fontId="19" fillId="0" borderId="0" xfId="0" applyFont="1"/>
    <xf numFmtId="164" fontId="19" fillId="0" borderId="0" xfId="1" applyNumberFormat="1" applyFont="1" applyBorder="1"/>
    <xf numFmtId="167" fontId="19" fillId="0" borderId="0" xfId="0" applyNumberFormat="1" applyFont="1"/>
    <xf numFmtId="49" fontId="19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right"/>
    </xf>
    <xf numFmtId="167" fontId="20" fillId="0" borderId="0" xfId="0" applyNumberFormat="1" applyFont="1"/>
    <xf numFmtId="49" fontId="19" fillId="0" borderId="0" xfId="0" applyNumberFormat="1" applyFont="1"/>
    <xf numFmtId="0" fontId="20" fillId="0" borderId="0" xfId="0" applyFont="1"/>
    <xf numFmtId="49" fontId="3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0" xfId="1" applyNumberFormat="1" applyFont="1" applyBorder="1"/>
    <xf numFmtId="10" fontId="3" fillId="0" borderId="0" xfId="2" applyNumberFormat="1" applyFont="1" applyBorder="1"/>
    <xf numFmtId="49" fontId="2" fillId="0" borderId="0" xfId="0" applyNumberFormat="1" applyFont="1"/>
    <xf numFmtId="49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quotePrefix="1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center" vertical="center" wrapText="1"/>
    </xf>
    <xf numFmtId="167" fontId="12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43" fontId="19" fillId="0" borderId="0" xfId="0" applyNumberFormat="1" applyFont="1"/>
    <xf numFmtId="49" fontId="11" fillId="2" borderId="4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164" fontId="13" fillId="0" borderId="5" xfId="1" applyNumberFormat="1" applyFont="1" applyBorder="1"/>
    <xf numFmtId="164" fontId="19" fillId="0" borderId="5" xfId="1" applyNumberFormat="1" applyFont="1" applyBorder="1"/>
    <xf numFmtId="0" fontId="0" fillId="0" borderId="6" xfId="0" applyBorder="1"/>
    <xf numFmtId="49" fontId="19" fillId="0" borderId="14" xfId="0" applyNumberFormat="1" applyFont="1" applyBorder="1"/>
    <xf numFmtId="0" fontId="19" fillId="0" borderId="14" xfId="0" applyFont="1" applyBorder="1"/>
    <xf numFmtId="167" fontId="19" fillId="0" borderId="14" xfId="0" applyNumberFormat="1" applyFont="1" applyBorder="1"/>
    <xf numFmtId="164" fontId="19" fillId="0" borderId="14" xfId="1" applyNumberFormat="1" applyFont="1" applyBorder="1"/>
    <xf numFmtId="164" fontId="19" fillId="0" borderId="7" xfId="1" applyNumberFormat="1" applyFont="1" applyBorder="1"/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167" fontId="19" fillId="0" borderId="4" xfId="0" applyNumberFormat="1" applyFont="1" applyBorder="1"/>
    <xf numFmtId="0" fontId="19" fillId="0" borderId="4" xfId="0" applyFont="1" applyBorder="1"/>
    <xf numFmtId="10" fontId="19" fillId="0" borderId="5" xfId="2" applyNumberFormat="1" applyFont="1" applyBorder="1"/>
    <xf numFmtId="0" fontId="19" fillId="0" borderId="6" xfId="0" applyFont="1" applyBorder="1"/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167" fontId="3" fillId="0" borderId="4" xfId="0" applyNumberFormat="1" applyFont="1" applyBorder="1"/>
    <xf numFmtId="0" fontId="6" fillId="0" borderId="6" xfId="0" applyFont="1" applyBorder="1"/>
    <xf numFmtId="164" fontId="6" fillId="0" borderId="16" xfId="0" applyNumberFormat="1" applyFont="1" applyBorder="1"/>
    <xf numFmtId="164" fontId="6" fillId="0" borderId="14" xfId="0" applyNumberFormat="1" applyFont="1" applyBorder="1"/>
    <xf numFmtId="0" fontId="6" fillId="0" borderId="14" xfId="0" applyFont="1" applyBorder="1"/>
    <xf numFmtId="49" fontId="12" fillId="2" borderId="4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164" fontId="3" fillId="0" borderId="5" xfId="1" applyNumberFormat="1" applyFont="1" applyBorder="1"/>
    <xf numFmtId="49" fontId="3" fillId="0" borderId="14" xfId="0" applyNumberFormat="1" applyFont="1" applyBorder="1"/>
    <xf numFmtId="0" fontId="3" fillId="0" borderId="14" xfId="0" applyFont="1" applyBorder="1"/>
    <xf numFmtId="167" fontId="3" fillId="0" borderId="14" xfId="0" applyNumberFormat="1" applyFont="1" applyBorder="1"/>
    <xf numFmtId="165" fontId="3" fillId="0" borderId="14" xfId="0" applyNumberFormat="1" applyFont="1" applyBorder="1"/>
    <xf numFmtId="164" fontId="6" fillId="0" borderId="17" xfId="0" applyNumberFormat="1" applyFont="1" applyBorder="1"/>
    <xf numFmtId="10" fontId="23" fillId="0" borderId="7" xfId="2" applyNumberFormat="1" applyFont="1" applyBorder="1"/>
    <xf numFmtId="0" fontId="23" fillId="0" borderId="18" xfId="0" applyFont="1" applyBorder="1"/>
    <xf numFmtId="43" fontId="23" fillId="0" borderId="15" xfId="0" applyNumberFormat="1" applyFont="1" applyBorder="1"/>
    <xf numFmtId="0" fontId="22" fillId="2" borderId="5" xfId="0" applyFont="1" applyFill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left"/>
    </xf>
    <xf numFmtId="165" fontId="19" fillId="0" borderId="14" xfId="0" applyNumberFormat="1" applyFont="1" applyBorder="1"/>
    <xf numFmtId="0" fontId="23" fillId="0" borderId="16" xfId="0" applyFont="1" applyBorder="1"/>
    <xf numFmtId="164" fontId="23" fillId="0" borderId="17" xfId="0" applyNumberFormat="1" applyFont="1" applyBorder="1"/>
    <xf numFmtId="0" fontId="4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9" fillId="0" borderId="0" xfId="0" quotePrefix="1" applyFont="1"/>
    <xf numFmtId="0" fontId="13" fillId="0" borderId="6" xfId="0" applyFont="1" applyBorder="1" applyAlignment="1">
      <alignment horizontal="left" vertical="center"/>
    </xf>
    <xf numFmtId="0" fontId="13" fillId="0" borderId="14" xfId="0" applyFont="1" applyBorder="1"/>
    <xf numFmtId="0" fontId="19" fillId="0" borderId="14" xfId="0" quotePrefix="1" applyFont="1" applyBorder="1"/>
    <xf numFmtId="0" fontId="23" fillId="0" borderId="4" xfId="0" applyFont="1" applyBorder="1"/>
    <xf numFmtId="0" fontId="19" fillId="0" borderId="4" xfId="0" applyFont="1" applyBorder="1" applyAlignment="1">
      <alignment horizontal="left" indent="1"/>
    </xf>
    <xf numFmtId="0" fontId="19" fillId="0" borderId="6" xfId="0" applyFont="1" applyBorder="1" applyAlignment="1">
      <alignment horizontal="left" indent="1"/>
    </xf>
    <xf numFmtId="0" fontId="17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64" fontId="3" fillId="0" borderId="5" xfId="0" applyNumberFormat="1" applyFont="1" applyBorder="1"/>
    <xf numFmtId="10" fontId="19" fillId="0" borderId="0" xfId="2" applyNumberFormat="1" applyFont="1" applyBorder="1"/>
    <xf numFmtId="0" fontId="17" fillId="3" borderId="0" xfId="0" applyFont="1" applyFill="1" applyAlignment="1">
      <alignment horizontal="center" vertical="center" wrapText="1"/>
    </xf>
    <xf numFmtId="164" fontId="13" fillId="0" borderId="0" xfId="0" applyNumberFormat="1" applyFont="1"/>
    <xf numFmtId="164" fontId="23" fillId="0" borderId="16" xfId="1" applyNumberFormat="1" applyFont="1" applyBorder="1"/>
    <xf numFmtId="164" fontId="23" fillId="0" borderId="17" xfId="1" applyNumberFormat="1" applyFont="1" applyBorder="1"/>
    <xf numFmtId="0" fontId="17" fillId="2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0" fontId="11" fillId="2" borderId="0" xfId="0" quotePrefix="1" applyFont="1" applyFill="1" applyAlignment="1">
      <alignment horizontal="center" vertical="center" wrapText="1"/>
    </xf>
    <xf numFmtId="165" fontId="11" fillId="2" borderId="0" xfId="0" applyNumberFormat="1" applyFont="1" applyFill="1" applyAlignment="1">
      <alignment horizontal="center" vertical="center" wrapText="1"/>
    </xf>
    <xf numFmtId="167" fontId="11" fillId="2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Alignment="1">
      <alignment horizontal="left"/>
    </xf>
    <xf numFmtId="167" fontId="13" fillId="0" borderId="0" xfId="0" applyNumberFormat="1" applyFont="1"/>
    <xf numFmtId="165" fontId="18" fillId="0" borderId="0" xfId="0" applyNumberFormat="1" applyFont="1" applyAlignment="1">
      <alignment horizontal="right"/>
    </xf>
    <xf numFmtId="167" fontId="18" fillId="0" borderId="0" xfId="0" applyNumberFormat="1" applyFont="1"/>
    <xf numFmtId="0" fontId="11" fillId="2" borderId="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66" fontId="19" fillId="0" borderId="9" xfId="0" applyNumberFormat="1" applyFont="1" applyBorder="1" applyAlignment="1">
      <alignment horizontal="right" vertical="center"/>
    </xf>
    <xf numFmtId="0" fontId="19" fillId="0" borderId="9" xfId="0" applyFont="1" applyBorder="1" applyAlignment="1">
      <alignment horizontal="right" vertical="center"/>
    </xf>
    <xf numFmtId="164" fontId="19" fillId="0" borderId="9" xfId="1" applyNumberFormat="1" applyFont="1" applyBorder="1" applyAlignment="1">
      <alignment horizontal="right" vertical="center"/>
    </xf>
    <xf numFmtId="43" fontId="19" fillId="0" borderId="9" xfId="1" applyFont="1" applyBorder="1" applyAlignment="1">
      <alignment horizontal="right" vertical="center"/>
    </xf>
    <xf numFmtId="9" fontId="19" fillId="0" borderId="9" xfId="2" applyFont="1" applyBorder="1" applyAlignment="1">
      <alignment horizontal="right" vertical="center"/>
    </xf>
    <xf numFmtId="164" fontId="19" fillId="0" borderId="10" xfId="1" applyNumberFormat="1" applyFont="1" applyBorder="1" applyAlignment="1">
      <alignment horizontal="right" vertical="center"/>
    </xf>
    <xf numFmtId="0" fontId="22" fillId="5" borderId="4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9" fillId="0" borderId="23" xfId="0" applyFont="1" applyBorder="1"/>
    <xf numFmtId="0" fontId="19" fillId="0" borderId="25" xfId="0" applyFont="1" applyBorder="1"/>
    <xf numFmtId="168" fontId="19" fillId="0" borderId="0" xfId="3" applyNumberFormat="1" applyFont="1" applyBorder="1"/>
    <xf numFmtId="168" fontId="19" fillId="0" borderId="26" xfId="3" applyNumberFormat="1" applyFont="1" applyBorder="1"/>
    <xf numFmtId="43" fontId="19" fillId="0" borderId="24" xfId="1" applyFont="1" applyBorder="1" applyAlignment="1">
      <alignment horizontal="center" vertical="center"/>
    </xf>
    <xf numFmtId="169" fontId="19" fillId="0" borderId="24" xfId="2" applyNumberFormat="1" applyFont="1" applyBorder="1"/>
    <xf numFmtId="169" fontId="19" fillId="0" borderId="27" xfId="2" applyNumberFormat="1" applyFont="1" applyBorder="1"/>
    <xf numFmtId="0" fontId="19" fillId="6" borderId="20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26" fillId="6" borderId="22" xfId="0" applyFont="1" applyFill="1" applyBorder="1" applyAlignment="1">
      <alignment horizontal="center" vertical="center"/>
    </xf>
    <xf numFmtId="43" fontId="0" fillId="0" borderId="0" xfId="0" applyNumberFormat="1"/>
    <xf numFmtId="0" fontId="19" fillId="6" borderId="0" xfId="0" applyFont="1" applyFill="1"/>
    <xf numFmtId="0" fontId="27" fillId="6" borderId="0" xfId="0" applyFont="1" applyFill="1" applyAlignment="1">
      <alignment vertical="top"/>
    </xf>
    <xf numFmtId="0" fontId="13" fillId="0" borderId="4" xfId="0" applyFont="1" applyBorder="1"/>
    <xf numFmtId="0" fontId="29" fillId="0" borderId="0" xfId="4" applyFont="1" applyProtection="1"/>
    <xf numFmtId="0" fontId="30" fillId="0" borderId="0" xfId="4" applyFont="1" applyBorder="1" applyProtection="1"/>
    <xf numFmtId="0" fontId="30" fillId="0" borderId="0" xfId="4" applyFont="1" applyFill="1" applyBorder="1" applyProtection="1"/>
    <xf numFmtId="0" fontId="13" fillId="6" borderId="2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left" vertical="center" wrapText="1" indent="17"/>
    </xf>
    <xf numFmtId="0" fontId="27" fillId="2" borderId="19" xfId="0" applyFont="1" applyFill="1" applyBorder="1" applyAlignment="1">
      <alignment horizontal="left" vertical="center" indent="17"/>
    </xf>
    <xf numFmtId="0" fontId="27" fillId="2" borderId="4" xfId="0" applyFont="1" applyFill="1" applyBorder="1" applyAlignment="1">
      <alignment horizontal="left" vertical="center" indent="17"/>
    </xf>
    <xf numFmtId="0" fontId="27" fillId="2" borderId="0" xfId="0" applyFont="1" applyFill="1" applyAlignment="1">
      <alignment horizontal="left" vertical="center" indent="17"/>
    </xf>
    <xf numFmtId="0" fontId="27" fillId="2" borderId="6" xfId="0" applyFont="1" applyFill="1" applyBorder="1" applyAlignment="1">
      <alignment horizontal="left" vertical="center" indent="17"/>
    </xf>
    <xf numFmtId="0" fontId="27" fillId="2" borderId="14" xfId="0" applyFont="1" applyFill="1" applyBorder="1" applyAlignment="1">
      <alignment horizontal="left" vertical="center" indent="17"/>
    </xf>
    <xf numFmtId="0" fontId="16" fillId="2" borderId="1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31" fillId="0" borderId="0" xfId="0" applyFont="1"/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medium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.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colors>
    <mruColors>
      <color rgb="FFE3AC01"/>
      <color rgb="FFBF9100"/>
      <color rgb="FFD8D1DB"/>
      <color rgb="FF2A6092"/>
      <color rgb="FF016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Net Margin/Scenario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'Output &amp; Summary'!$C$6</c:f>
              <c:strCache>
                <c:ptCount val="1"/>
                <c:pt idx="0">
                  <c:v>Total Net Margin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  <a:scene3d>
              <a:camera prst="orthographicFront"/>
              <a:lightRig rig="threePt" dir="t"/>
            </a:scene3d>
            <a:sp3d prstMaterial="matte"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  <a:scene3d>
                <a:camera prst="orthographicFront"/>
                <a:lightRig rig="threePt" dir="t"/>
              </a:scene3d>
              <a:sp3d prstMaterial="matte">
                <a:bevelT/>
              </a:sp3d>
            </c:spPr>
            <c:extLst>
              <c:ext xmlns:c16="http://schemas.microsoft.com/office/drawing/2014/chart" uri="{C3380CC4-5D6E-409C-BE32-E72D297353CC}">
                <c16:uniqueId val="{00000005-495E-5B4A-81F4-7A50D6DB12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  <a:scene3d>
                <a:camera prst="orthographicFront"/>
                <a:lightRig rig="threePt" dir="t"/>
              </a:scene3d>
              <a:sp3d prstMaterial="matte">
                <a:bevelT/>
              </a:sp3d>
            </c:spPr>
            <c:extLst>
              <c:ext xmlns:c16="http://schemas.microsoft.com/office/drawing/2014/chart" uri="{C3380CC4-5D6E-409C-BE32-E72D297353CC}">
                <c16:uniqueId val="{00000004-495E-5B4A-81F4-7A50D6DB12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  <a:scene3d>
                <a:camera prst="orthographicFront"/>
                <a:lightRig rig="threePt" dir="t"/>
              </a:scene3d>
              <a:sp3d prstMaterial="matte">
                <a:bevelT/>
              </a:sp3d>
            </c:spPr>
            <c:extLst>
              <c:ext xmlns:c16="http://schemas.microsoft.com/office/drawing/2014/chart" uri="{C3380CC4-5D6E-409C-BE32-E72D297353CC}">
                <c16:uniqueId val="{00000003-495E-5B4A-81F4-7A50D6DB127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07C396E3-726D-1741-919A-0794E1E86FA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95E-5B4A-81F4-7A50D6DB127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7086DC-565D-0243-A1EE-4B408F068974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95E-5B4A-81F4-7A50D6DB127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0307ED-5CB4-0742-8849-C080F3CFA3F1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95E-5B4A-81F4-7A50D6DB12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&amp; Summary'!$B$7:$B$9</c:f>
              <c:strCache>
                <c:ptCount val="3"/>
                <c:pt idx="0">
                  <c:v>FY2023 Baseline</c:v>
                </c:pt>
                <c:pt idx="1">
                  <c:v>Admission Drop</c:v>
                </c:pt>
                <c:pt idx="2">
                  <c:v>LOS Reduction</c:v>
                </c:pt>
              </c:strCache>
            </c:strRef>
          </c:cat>
          <c:val>
            <c:numRef>
              <c:f>'Output &amp; Summary'!$C$7:$C$9</c:f>
              <c:numCache>
                <c:formatCode>_("$"* #,##0_);_("$"* \(#,##0\);_("$"* "-"??_);_(@_)</c:formatCode>
                <c:ptCount val="3"/>
                <c:pt idx="0">
                  <c:v>9494691.4120958745</c:v>
                </c:pt>
                <c:pt idx="1">
                  <c:v>8744232.0320372749</c:v>
                </c:pt>
                <c:pt idx="2">
                  <c:v>10813389.412095875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E-5B4A-81F4-7A50D6DB127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</c:dLbls>
        <c:gapWidth val="144"/>
        <c:overlap val="-27"/>
        <c:axId val="1299080383"/>
        <c:axId val="1264442367"/>
      </c:barChart>
      <c:catAx>
        <c:axId val="129908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42367"/>
        <c:crosses val="autoZero"/>
        <c:auto val="1"/>
        <c:lblAlgn val="ctr"/>
        <c:lblOffset val="100"/>
        <c:noMultiLvlLbl val="0"/>
      </c:catAx>
      <c:valAx>
        <c:axId val="12644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908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alali794/" TargetMode="External"/><Relationship Id="rId2" Type="http://schemas.openxmlformats.org/officeDocument/2006/relationships/hyperlink" Target="https://github.com/abalali794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550333</xdr:colOff>
      <xdr:row>1</xdr:row>
      <xdr:rowOff>67733</xdr:rowOff>
    </xdr:from>
    <xdr:to>
      <xdr:col>13</xdr:col>
      <xdr:colOff>183320</xdr:colOff>
      <xdr:row>3</xdr:row>
      <xdr:rowOff>404192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439755-5D8C-5E8B-79D8-5CED4277FEE7}"/>
            </a:ext>
          </a:extLst>
        </xdr:cNvPr>
        <xdr:cNvSpPr txBox="1"/>
      </xdr:nvSpPr>
      <xdr:spPr>
        <a:xfrm>
          <a:off x="8441266" y="245533"/>
          <a:ext cx="2951921" cy="692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Prepared by </a:t>
          </a:r>
          <a:r>
            <a:rPr lang="en-US" sz="1200" b="1">
              <a:solidFill>
                <a:srgbClr val="E3AC01"/>
              </a:solidFill>
              <a:latin typeface="Arial" panose="020B0604020202020204" pitchFamily="34" charset="0"/>
              <a:cs typeface="Arial" panose="020B0604020202020204" pitchFamily="34" charset="0"/>
            </a:rPr>
            <a:t>Abdulrahman Alali</a:t>
          </a:r>
        </a:p>
        <a:p>
          <a:r>
            <a:rPr lang="en-US" sz="1200">
              <a:solidFill>
                <a:srgbClr val="E3AC01"/>
              </a:solidFill>
              <a:latin typeface="Arial" panose="020B0604020202020204" pitchFamily="34" charset="0"/>
              <a:cs typeface="Arial" panose="020B0604020202020204" pitchFamily="34" charset="0"/>
            </a:rPr>
            <a:t>MHA</a:t>
          </a: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|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Saint Louis University</a:t>
          </a:r>
        </a:p>
        <a:p>
          <a:r>
            <a:rPr lang="en-US" sz="1200" baseline="0">
              <a:solidFill>
                <a:srgbClr val="E3AC01"/>
              </a:solidFill>
              <a:latin typeface="Arial" panose="020B0604020202020204" pitchFamily="34" charset="0"/>
              <a:cs typeface="Arial" panose="020B0604020202020204" pitchFamily="34" charset="0"/>
            </a:rPr>
            <a:t>MS Finance 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| Johns Hopkins University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14112</xdr:colOff>
      <xdr:row>0</xdr:row>
      <xdr:rowOff>21168</xdr:rowOff>
    </xdr:from>
    <xdr:to>
      <xdr:col>1</xdr:col>
      <xdr:colOff>747890</xdr:colOff>
      <xdr:row>3</xdr:row>
      <xdr:rowOff>423333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82794E-FCD0-23CD-3186-EC5AE9CB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2" y="21168"/>
          <a:ext cx="959556" cy="931332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/>
        <a:scene3d>
          <a:camera prst="obliqueTopLeft"/>
          <a:lightRig rig="twoPt" dir="t">
            <a:rot lat="0" lon="0" rev="7200000"/>
          </a:lightRig>
        </a:scene3d>
        <a:sp3d>
          <a:bevelT/>
          <a:contourClr>
            <a:srgbClr val="FFFFFF"/>
          </a:contourClr>
        </a:sp3d>
      </xdr:spPr>
    </xdr:pic>
    <xdr:clientData/>
  </xdr:twoCellAnchor>
  <xdr:twoCellAnchor>
    <xdr:from>
      <xdr:col>4</xdr:col>
      <xdr:colOff>282518</xdr:colOff>
      <xdr:row>26</xdr:row>
      <xdr:rowOff>167551</xdr:rowOff>
    </xdr:from>
    <xdr:to>
      <xdr:col>7</xdr:col>
      <xdr:colOff>406400</xdr:colOff>
      <xdr:row>29</xdr:row>
      <xdr:rowOff>170224</xdr:rowOff>
    </xdr:to>
    <xdr:sp macro="" textlink="">
      <xdr:nvSpPr>
        <xdr:cNvPr id="14" name="TextBox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85C05E-5794-2C5B-C528-D9BC4B30E4B7}"/>
            </a:ext>
          </a:extLst>
        </xdr:cNvPr>
        <xdr:cNvSpPr txBox="1"/>
      </xdr:nvSpPr>
      <xdr:spPr>
        <a:xfrm>
          <a:off x="4024785" y="5493084"/>
          <a:ext cx="2613082" cy="53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https://github.com/abalali794</a:t>
          </a:r>
        </a:p>
      </xdr:txBody>
    </xdr:sp>
    <xdr:clientData/>
  </xdr:twoCellAnchor>
  <xdr:twoCellAnchor>
    <xdr:from>
      <xdr:col>1</xdr:col>
      <xdr:colOff>84667</xdr:colOff>
      <xdr:row>26</xdr:row>
      <xdr:rowOff>152403</xdr:rowOff>
    </xdr:from>
    <xdr:to>
      <xdr:col>3</xdr:col>
      <xdr:colOff>494186</xdr:colOff>
      <xdr:row>29</xdr:row>
      <xdr:rowOff>161760</xdr:rowOff>
    </xdr:to>
    <xdr:sp macro="" textlink="">
      <xdr:nvSpPr>
        <xdr:cNvPr id="13" name="TextBox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6BDE26-EC8F-9590-4D78-29AD8BCBEF4D}"/>
            </a:ext>
          </a:extLst>
        </xdr:cNvPr>
        <xdr:cNvSpPr txBox="1"/>
      </xdr:nvSpPr>
      <xdr:spPr>
        <a:xfrm>
          <a:off x="313267" y="5477936"/>
          <a:ext cx="3093452" cy="542757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200" b="0" cap="none" spc="0">
              <a:ln w="0">
                <a:noFill/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https://www.linkedin.com/in/alali794/</a:t>
          </a:r>
        </a:p>
      </xdr:txBody>
    </xdr:sp>
    <xdr:clientData/>
  </xdr:twoCellAnchor>
  <xdr:twoCellAnchor editAs="oneCell">
    <xdr:from>
      <xdr:col>0</xdr:col>
      <xdr:colOff>201335</xdr:colOff>
      <xdr:row>26</xdr:row>
      <xdr:rowOff>114969</xdr:rowOff>
    </xdr:from>
    <xdr:to>
      <xdr:col>1</xdr:col>
      <xdr:colOff>594447</xdr:colOff>
      <xdr:row>29</xdr:row>
      <xdr:rowOff>197549</xdr:rowOff>
    </xdr:to>
    <xdr:pic>
      <xdr:nvPicPr>
        <xdr:cNvPr id="12" name="Picture 11" descr="Linkedin Icons - Free Download in SVG, PNG">
          <a:extLst>
            <a:ext uri="{FF2B5EF4-FFF2-40B4-BE49-F238E27FC236}">
              <a16:creationId xmlns:a16="http://schemas.microsoft.com/office/drawing/2014/main" id="{387E39A4-7BBE-FC01-5DB8-023C9581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35" y="5440502"/>
          <a:ext cx="621712" cy="61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153214</xdr:colOff>
      <xdr:row>26</xdr:row>
      <xdr:rowOff>115440</xdr:rowOff>
    </xdr:from>
    <xdr:to>
      <xdr:col>4</xdr:col>
      <xdr:colOff>793575</xdr:colOff>
      <xdr:row>29</xdr:row>
      <xdr:rowOff>211667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DA83F3-8717-D5F5-B8D3-956340173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95481" y="5440973"/>
          <a:ext cx="640361" cy="629627"/>
        </a:xfrm>
        <a:prstGeom prst="rect">
          <a:avLst/>
        </a:prstGeom>
      </xdr:spPr>
    </xdr:pic>
    <xdr:clientData/>
  </xdr:twoCellAnchor>
  <xdr:twoCellAnchor>
    <xdr:from>
      <xdr:col>10</xdr:col>
      <xdr:colOff>762000</xdr:colOff>
      <xdr:row>27</xdr:row>
      <xdr:rowOff>126999</xdr:rowOff>
    </xdr:from>
    <xdr:to>
      <xdr:col>13</xdr:col>
      <xdr:colOff>448734</xdr:colOff>
      <xdr:row>29</xdr:row>
      <xdr:rowOff>84666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7016811-B3B6-4548-A00E-CDCEB820F3E9}"/>
            </a:ext>
          </a:extLst>
        </xdr:cNvPr>
        <xdr:cNvSpPr txBox="1"/>
      </xdr:nvSpPr>
      <xdr:spPr>
        <a:xfrm>
          <a:off x="9482667" y="5630332"/>
          <a:ext cx="2175934" cy="313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v1.0 | Last Updated: 25/1/2026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471715</xdr:colOff>
      <xdr:row>11</xdr:row>
      <xdr:rowOff>99786</xdr:rowOff>
    </xdr:from>
    <xdr:to>
      <xdr:col>7</xdr:col>
      <xdr:colOff>478517</xdr:colOff>
      <xdr:row>32</xdr:row>
      <xdr:rowOff>196359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13980-6087-CE26-E4AC-3773D04C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715" y="2485572"/>
          <a:ext cx="8007802" cy="42875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452363</xdr:colOff>
      <xdr:row>34</xdr:row>
      <xdr:rowOff>107042</xdr:rowOff>
    </xdr:from>
    <xdr:to>
      <xdr:col>7</xdr:col>
      <xdr:colOff>480786</xdr:colOff>
      <xdr:row>56</xdr:row>
      <xdr:rowOff>187976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3EBBA-13D6-DEFC-6933-D36F10ECA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363" y="7082971"/>
          <a:ext cx="8029423" cy="447150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530678</xdr:colOff>
      <xdr:row>4</xdr:row>
      <xdr:rowOff>93434</xdr:rowOff>
    </xdr:from>
    <xdr:to>
      <xdr:col>15</xdr:col>
      <xdr:colOff>598715</xdr:colOff>
      <xdr:row>26</xdr:row>
      <xdr:rowOff>126998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98C52-5CA0-2774-72CD-C77E01927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E6F8F-FCF5-4185-8FFF-DADFDAD0AA81}" name="Table1" displayName="Table1" ref="B2:X68" totalsRowShown="0" headerRowDxfId="47" dataDxfId="46" totalsRowDxfId="45" dataCellStyle="Comma">
  <autoFilter ref="B2:X68" xr:uid="{2E4E6F8F-FCF5-4185-8FFF-DADFDAD0AA81}"/>
  <tableColumns count="23">
    <tableColumn id="5" xr3:uid="{7FCD5283-06DD-4493-9A36-6072EA915542}" name="MDC" dataDxfId="44" totalsRowDxfId="43"/>
    <tableColumn id="6" xr3:uid="{FA5B9110-D41B-4ABA-8E97-DA4C1B3C2C12}" name="MDC Group" dataDxfId="42" totalsRowDxfId="41"/>
    <tableColumn id="7" xr3:uid="{2D583E6F-3FBE-4837-94E4-27C5A78B6D22}" name="TYPE" dataDxfId="40" totalsRowDxfId="39"/>
    <tableColumn id="8" xr3:uid="{CD9D588E-0A82-4FB9-BDC8-A661AFC92EC9}" name="MS-DRG Title" dataDxfId="38" totalsRowDxfId="37"/>
    <tableColumn id="9" xr3:uid="{C8992BAB-58B0-4AE4-9607-E3AEE1239937}" name="Weights" dataDxfId="36" totalsRowDxfId="35"/>
    <tableColumn id="10" xr3:uid="{C119EEF6-529A-4788-B4C3-5EEA203BD9D3}" name="Geometric mean LOS" dataDxfId="34" totalsRowDxfId="33"/>
    <tableColumn id="12" xr3:uid="{199920C9-94F8-472D-B69D-CEA301B65F6A}" name="Operating Payment/ Discharge" dataDxfId="32" totalsRowDxfId="31">
      <calculatedColumnFormula>F3*Input!$C$15</calculatedColumnFormula>
    </tableColumn>
    <tableColumn id="13" xr3:uid="{08D31E5F-61FD-4384-96E3-B2A598C2E6AB}" name="Capital Payment/ Discharge" dataDxfId="30" totalsRowDxfId="29">
      <calculatedColumnFormula>F3*Input!$C$13</calculatedColumnFormula>
    </tableColumn>
    <tableColumn id="14" xr3:uid="{BB797804-F52C-4017-AEFE-56F9562B9CBF}" name="Base Payment/ Discharge" dataDxfId="28" totalsRowDxfId="27">
      <calculatedColumnFormula>H3+I3</calculatedColumnFormula>
    </tableColumn>
    <tableColumn id="17" xr3:uid="{D1ADA51C-C406-4FAC-A999-0AB71A118E3D}" name="Cost/ Discharge" dataDxfId="26" totalsRowDxfId="25" dataCellStyle="Comma">
      <calculatedColumnFormula>(Input!$C$21*'Master Table'!G3)+Input!$C$20</calculatedColumnFormula>
    </tableColumn>
    <tableColumn id="18" xr3:uid="{1CC90D75-A1D5-43E5-BC7D-3CF3D74A30D5}" name="Net Margin/Dis" dataDxfId="24" totalsRowDxfId="23">
      <calculatedColumnFormula>J3-K3</calculatedColumnFormula>
    </tableColumn>
    <tableColumn id="19" xr3:uid="{7A55829C-DE91-4636-97BF-1FF89CF91C34}" name="Discharge Volume" dataDxfId="22" totalsRowDxfId="21">
      <calculatedColumnFormula>VLOOKUP(A3,'Good Samaritan Hospital'!$G:$I,3,FALSE)</calculatedColumnFormula>
    </tableColumn>
    <tableColumn id="20" xr3:uid="{6A2C7AE6-C10B-4B00-BC22-2DF59160E847}" name="Total net Margin" dataDxfId="20" totalsRowDxfId="19" dataCellStyle="Comma">
      <calculatedColumnFormula>L3*M3</calculatedColumnFormula>
    </tableColumn>
    <tableColumn id="26" xr3:uid="{310ADB17-9489-44AE-B216-D9A92F64720D}" name="New Volume" dataDxfId="18" totalsRowDxfId="17">
      <calculatedColumnFormula>'SC1 Admission Drop Scenario'!S3</calculatedColumnFormula>
    </tableColumn>
    <tableColumn id="27" xr3:uid="{D0FCB225-B33F-4914-8D6B-D4943E54CC58}" name="New Total Net Margin" dataDxfId="16" totalsRowDxfId="15" dataCellStyle="Comma">
      <calculatedColumnFormula>'SC1 Admission Drop Scenario'!T3</calculatedColumnFormula>
    </tableColumn>
    <tableColumn id="34" xr3:uid="{EBE2EAF7-C6E7-0E4C-AE44-9673553E8DED}" name="New Net Gain (Loss) In Margin" dataDxfId="14" totalsRowDxfId="13" dataCellStyle="Comma">
      <calculatedColumnFormula>Table1[[#This Row],[New Total Net Margin]]-Table1[[#This Row],[Total net Margin]]</calculatedColumnFormula>
    </tableColumn>
    <tableColumn id="28" xr3:uid="{4D2E7D4D-FEB1-4FA2-8C84-58BE856BE233}" name="% Change in Total Margin" dataDxfId="12" totalsRowDxfId="11" dataCellStyle="Percent">
      <calculatedColumnFormula>(Table1[[#This Row],[New Total Net Margin]]-Table1[[#This Row],[Total net Margin]])/Table1[[#This Row],[Total net Margin]]</calculatedColumnFormula>
    </tableColumn>
    <tableColumn id="29" xr3:uid="{C0D5ED30-1B20-411F-999B-86CB49928C74}" name="New LOS" dataDxfId="10" totalsRowDxfId="9">
      <calculatedColumnFormula>'SC2 Reduce LOS'!P3</calculatedColumnFormula>
    </tableColumn>
    <tableColumn id="30" xr3:uid="{7994ABE1-E619-4F31-AE9C-29E7EDB33370}" name="New Cost/Discharge" dataDxfId="8" totalsRowDxfId="7" dataCellStyle="Comma">
      <calculatedColumnFormula>'SC2 Reduce LOS'!Q3</calculatedColumnFormula>
    </tableColumn>
    <tableColumn id="36" xr3:uid="{0D12818C-ECA1-E841-9312-B561A6E54B51}" name="Cost Saving $/DRG Volume" dataDxfId="6" totalsRowDxfId="5" dataCellStyle="Comma">
      <calculatedColumnFormula>(Table1[[#This Row],[Cost/ Discharge]]-Table1[[#This Row],[New Cost/Discharge]])*Table1[[#This Row],[Discharge Volume]]</calculatedColumnFormula>
    </tableColumn>
    <tableColumn id="2" xr3:uid="{E2B33BA7-FBB0-DB41-AA45-43204279FC89}" name="%∆ In Cost/Dis" dataDxfId="4" totalsRowDxfId="3" dataCellStyle="Comma">
      <calculatedColumnFormula>'SC2 Reduce LOS'!S3</calculatedColumnFormula>
    </tableColumn>
    <tableColumn id="31" xr3:uid="{A39A2DA6-7CB7-4B0A-8EFC-8FA4A02EE11D}" name="New Net Margin/Dis" dataDxfId="2" totalsRowDxfId="1" dataCellStyle="Comma">
      <calculatedColumnFormula>'SC2 Reduce LOS'!T3</calculatedColumnFormula>
    </tableColumn>
    <tableColumn id="32" xr3:uid="{E6FA1643-E01B-4125-BF0A-5304828F3A30}" name="New Total net Margin2" dataDxfId="0" dataCellStyle="Comma">
      <calculatedColumnFormula>'SC2 Reduce LOS'!U3</calculatedColumnFormula>
    </tableColumn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C338-6CEA-E24A-AFCF-6A508635ED78}">
  <dimension ref="A1:M35"/>
  <sheetViews>
    <sheetView showGridLines="0" tabSelected="1" zoomScale="150" zoomScaleNormal="150" workbookViewId="0">
      <selection activeCell="E16" sqref="E16"/>
    </sheetView>
  </sheetViews>
  <sheetFormatPr baseColWidth="10" defaultRowHeight="14" x14ac:dyDescent="0.15"/>
  <cols>
    <col min="1" max="1" width="3" style="20" customWidth="1"/>
    <col min="2" max="2" width="24.33203125" style="20" customWidth="1"/>
    <col min="3" max="16384" width="10.83203125" style="20"/>
  </cols>
  <sheetData>
    <row r="1" spans="1:13" x14ac:dyDescent="0.15">
      <c r="A1" s="157" t="s">
        <v>392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3" x14ac:dyDescent="0.1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x14ac:dyDescent="0.15">
      <c r="A3" s="159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</row>
    <row r="4" spans="1:13" ht="35" customHeight="1" thickBot="1" x14ac:dyDescent="0.2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</row>
    <row r="5" spans="1:13" x14ac:dyDescent="0.15">
      <c r="A5" s="147"/>
    </row>
    <row r="6" spans="1:13" ht="18" x14ac:dyDescent="0.2">
      <c r="A6" s="147"/>
      <c r="B6" s="184" t="s">
        <v>408</v>
      </c>
    </row>
    <row r="7" spans="1:13" ht="7" customHeight="1" x14ac:dyDescent="0.2">
      <c r="A7" s="147"/>
      <c r="B7" s="184"/>
    </row>
    <row r="8" spans="1:13" ht="16" x14ac:dyDescent="0.2">
      <c r="A8" s="147"/>
      <c r="B8" s="148" t="s">
        <v>404</v>
      </c>
      <c r="C8" s="29"/>
    </row>
    <row r="9" spans="1:13" ht="16" x14ac:dyDescent="0.2">
      <c r="A9" s="147"/>
      <c r="B9" s="149" t="s">
        <v>391</v>
      </c>
      <c r="C9" s="29"/>
    </row>
    <row r="10" spans="1:13" ht="16" x14ac:dyDescent="0.2">
      <c r="A10" s="147"/>
      <c r="B10" s="150" t="s">
        <v>393</v>
      </c>
      <c r="C10" s="29"/>
    </row>
    <row r="11" spans="1:13" ht="16" x14ac:dyDescent="0.2">
      <c r="A11" s="147"/>
      <c r="B11" s="150" t="s">
        <v>405</v>
      </c>
      <c r="C11" s="29"/>
    </row>
    <row r="12" spans="1:13" ht="16" x14ac:dyDescent="0.2">
      <c r="A12" s="147"/>
      <c r="B12" s="150" t="s">
        <v>406</v>
      </c>
      <c r="C12" s="29"/>
    </row>
    <row r="13" spans="1:13" ht="16" x14ac:dyDescent="0.2">
      <c r="A13" s="147"/>
      <c r="B13" s="149" t="s">
        <v>407</v>
      </c>
      <c r="C13" s="29"/>
    </row>
    <row r="14" spans="1:13" ht="16" x14ac:dyDescent="0.2">
      <c r="A14" s="147"/>
      <c r="B14" s="149" t="s">
        <v>390</v>
      </c>
      <c r="C14" s="29"/>
    </row>
    <row r="15" spans="1:13" ht="16" x14ac:dyDescent="0.2">
      <c r="A15" s="147"/>
      <c r="B15" s="29"/>
      <c r="C15" s="29"/>
    </row>
    <row r="16" spans="1:13" ht="16" x14ac:dyDescent="0.2">
      <c r="A16" s="147"/>
      <c r="B16" s="29"/>
      <c r="C16" s="29"/>
    </row>
    <row r="17" spans="1:13" x14ac:dyDescent="0.15">
      <c r="A17" s="147"/>
    </row>
    <row r="18" spans="1:13" x14ac:dyDescent="0.15">
      <c r="A18" s="147"/>
    </row>
    <row r="19" spans="1:13" x14ac:dyDescent="0.15">
      <c r="A19" s="147"/>
    </row>
    <row r="20" spans="1:13" x14ac:dyDescent="0.15">
      <c r="A20" s="147"/>
    </row>
    <row r="21" spans="1:13" x14ac:dyDescent="0.15">
      <c r="A21" s="147"/>
    </row>
    <row r="22" spans="1:13" x14ac:dyDescent="0.15">
      <c r="A22" s="147"/>
    </row>
    <row r="23" spans="1:13" x14ac:dyDescent="0.15">
      <c r="A23" s="147"/>
    </row>
    <row r="24" spans="1:13" x14ac:dyDescent="0.15">
      <c r="A24" s="147"/>
    </row>
    <row r="25" spans="1:13" ht="6" customHeight="1" thickBot="1" x14ac:dyDescent="0.2">
      <c r="A25" s="147"/>
    </row>
    <row r="26" spans="1:13" ht="1" hidden="1" customHeight="1" thickBot="1" x14ac:dyDescent="0.2">
      <c r="A26" s="147"/>
    </row>
    <row r="27" spans="1:13" x14ac:dyDescent="0.1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</row>
    <row r="28" spans="1:13" x14ac:dyDescent="0.15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15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ht="27" customHeight="1" thickBo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</row>
    <row r="35" spans="2:2" ht="15" x14ac:dyDescent="0.2">
      <c r="B35"/>
    </row>
  </sheetData>
  <mergeCells count="2">
    <mergeCell ref="A27:M30"/>
    <mergeCell ref="A1:M4"/>
  </mergeCells>
  <hyperlinks>
    <hyperlink ref="B14" location="'Ohio Urban Hospitals Financial '!A1" display="Ohio Urban Hospitals Financial" xr:uid="{814CABD1-7E56-E349-BD7E-3CEB6B680362}"/>
    <hyperlink ref="B13" location="'Good Samaritan Hospital'!A1" display="Good Samaritan Hospital" xr:uid="{1EB13394-44BD-A44C-956A-DA8B8C24985B}"/>
    <hyperlink ref="B9" location="Input!A1" display="Input" xr:uid="{72D0CB00-8068-9F46-A5E4-F6949CA83AFD}"/>
    <hyperlink ref="B10" location="'FY 2023 MATER TABLE'!A1" display="FY 2023 Master Table" xr:uid="{65CABE67-29F3-1F4D-8020-B09CDA2464F7}"/>
    <hyperlink ref="B11" location="'SC1 Admission Drop Scenario'!A1" display="SC1 Admission Drop Scenario" xr:uid="{6DED3A21-8138-9447-8ACB-10FBD416BDEE}"/>
    <hyperlink ref="B12" location="'SC2 Reduce LOS'!A1" display="SC2 LOS Reduce Scenario" xr:uid="{67B2E2E7-1DC1-5547-9923-97273F1F1948}"/>
    <hyperlink ref="B8" location="'Output &amp; Summary'!A1" display="Output &amp; Summary" xr:uid="{9DBBAED3-653B-0B4C-9072-220CD1051FB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708B-0294-404B-AF98-2561F2942363}">
  <dimension ref="A1:P9"/>
  <sheetViews>
    <sheetView showGridLines="0" zoomScale="140" zoomScaleNormal="140" workbookViewId="0">
      <selection activeCell="G7" sqref="G7"/>
    </sheetView>
  </sheetViews>
  <sheetFormatPr baseColWidth="10" defaultRowHeight="16" x14ac:dyDescent="0.2"/>
  <cols>
    <col min="1" max="1" width="7" style="29" customWidth="1"/>
    <col min="2" max="2" width="17" style="29" bestFit="1" customWidth="1"/>
    <col min="3" max="3" width="20" style="29" bestFit="1" customWidth="1"/>
    <col min="4" max="4" width="28.5" style="29" bestFit="1" customWidth="1"/>
    <col min="5" max="16384" width="10.83203125" style="29"/>
  </cols>
  <sheetData>
    <row r="1" spans="1:16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6" ht="23" x14ac:dyDescent="0.2">
      <c r="A2" s="145"/>
      <c r="B2" s="146" t="s">
        <v>403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</row>
    <row r="3" spans="1:16" ht="21" customHeight="1" x14ac:dyDescent="0.2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</row>
    <row r="5" spans="1:16" ht="17" thickBot="1" x14ac:dyDescent="0.25"/>
    <row r="6" spans="1:16" x14ac:dyDescent="0.2">
      <c r="B6" s="141"/>
      <c r="C6" s="142" t="s">
        <v>402</v>
      </c>
      <c r="D6" s="143" t="s">
        <v>397</v>
      </c>
    </row>
    <row r="7" spans="1:16" x14ac:dyDescent="0.2">
      <c r="B7" s="134" t="s">
        <v>394</v>
      </c>
      <c r="C7" s="136">
        <f>'Master Table'!N68</f>
        <v>9494691.4120958745</v>
      </c>
      <c r="D7" s="138">
        <v>0</v>
      </c>
    </row>
    <row r="8" spans="1:16" x14ac:dyDescent="0.2">
      <c r="B8" s="134" t="s">
        <v>395</v>
      </c>
      <c r="C8" s="136">
        <f>'Master Table'!P68</f>
        <v>8744232.0320372749</v>
      </c>
      <c r="D8" s="139">
        <f>(C8-C7)/C7</f>
        <v>-7.9039891607487422E-2</v>
      </c>
    </row>
    <row r="9" spans="1:16" ht="17" thickBot="1" x14ac:dyDescent="0.25">
      <c r="B9" s="135" t="s">
        <v>396</v>
      </c>
      <c r="C9" s="137">
        <f>'Master Table'!X68</f>
        <v>10813389.412095875</v>
      </c>
      <c r="D9" s="140">
        <f>(C9-C7)/C7</f>
        <v>0.13888792618578727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491C-DC4F-AA48-9AED-7F24A7165FED}">
  <dimension ref="B1:E21"/>
  <sheetViews>
    <sheetView showGridLines="0" zoomScale="130" zoomScaleNormal="130" workbookViewId="0">
      <selection activeCell="E13" sqref="E13"/>
    </sheetView>
  </sheetViews>
  <sheetFormatPr baseColWidth="10" defaultColWidth="11.5" defaultRowHeight="14" x14ac:dyDescent="0.15"/>
  <cols>
    <col min="1" max="1" width="2" style="20" customWidth="1"/>
    <col min="2" max="2" width="53.83203125" style="20" customWidth="1"/>
    <col min="3" max="3" width="15" style="20" customWidth="1"/>
    <col min="4" max="16384" width="11.5" style="20"/>
  </cols>
  <sheetData>
    <row r="1" spans="2:5" ht="11" customHeight="1" thickBot="1" x14ac:dyDescent="0.2"/>
    <row r="2" spans="2:5" ht="29" customHeight="1" x14ac:dyDescent="0.15">
      <c r="B2" s="123" t="s">
        <v>162</v>
      </c>
      <c r="C2" s="124" t="s">
        <v>163</v>
      </c>
    </row>
    <row r="3" spans="2:5" ht="16" x14ac:dyDescent="0.2">
      <c r="B3" s="101" t="s">
        <v>164</v>
      </c>
      <c r="C3" s="125">
        <f>'Ohio Urban Hospitals Financial '!P47</f>
        <v>0.93723599999999996</v>
      </c>
    </row>
    <row r="4" spans="2:5" ht="16" x14ac:dyDescent="0.2">
      <c r="B4" s="101" t="s">
        <v>165</v>
      </c>
      <c r="C4" s="126" t="b">
        <f>C3&gt;1</f>
        <v>0</v>
      </c>
    </row>
    <row r="5" spans="2:5" ht="16" x14ac:dyDescent="0.2">
      <c r="B5" s="65"/>
      <c r="C5" s="126"/>
    </row>
    <row r="6" spans="2:5" ht="16" x14ac:dyDescent="0.2">
      <c r="B6" s="101" t="s">
        <v>166</v>
      </c>
      <c r="C6" s="126"/>
    </row>
    <row r="7" spans="2:5" ht="16" x14ac:dyDescent="0.2">
      <c r="B7" s="102" t="s">
        <v>167</v>
      </c>
      <c r="C7" s="127">
        <v>4310</v>
      </c>
    </row>
    <row r="8" spans="2:5" ht="16" x14ac:dyDescent="0.2">
      <c r="B8" s="102" t="s">
        <v>168</v>
      </c>
      <c r="C8" s="127">
        <v>2065</v>
      </c>
    </row>
    <row r="9" spans="2:5" ht="16" x14ac:dyDescent="0.2">
      <c r="B9" s="102"/>
      <c r="C9" s="127"/>
    </row>
    <row r="10" spans="2:5" ht="16" x14ac:dyDescent="0.2">
      <c r="B10" s="102" t="s">
        <v>169</v>
      </c>
      <c r="C10" s="128">
        <v>3952.96</v>
      </c>
    </row>
    <row r="11" spans="2:5" ht="16" x14ac:dyDescent="0.2">
      <c r="B11" s="102" t="s">
        <v>170</v>
      </c>
      <c r="C11" s="128">
        <v>2422.7800000000002</v>
      </c>
    </row>
    <row r="12" spans="2:5" ht="16" x14ac:dyDescent="0.2">
      <c r="B12" s="65"/>
      <c r="C12" s="127"/>
    </row>
    <row r="13" spans="2:5" ht="16" x14ac:dyDescent="0.2">
      <c r="B13" s="101" t="s">
        <v>171</v>
      </c>
      <c r="C13" s="128">
        <v>483.76</v>
      </c>
    </row>
    <row r="14" spans="2:5" ht="16" x14ac:dyDescent="0.2">
      <c r="B14" s="65"/>
      <c r="C14" s="126"/>
      <c r="E14" s="21"/>
    </row>
    <row r="15" spans="2:5" ht="16" x14ac:dyDescent="0.2">
      <c r="B15" s="101" t="s">
        <v>172</v>
      </c>
      <c r="C15" s="128">
        <f>IF(C4,C7*C3+C8,C10*C3+C11)</f>
        <v>6127.6364185599996</v>
      </c>
    </row>
    <row r="16" spans="2:5" ht="16" x14ac:dyDescent="0.2">
      <c r="B16" s="65"/>
      <c r="C16" s="126"/>
    </row>
    <row r="17" spans="2:3" ht="16" x14ac:dyDescent="0.2">
      <c r="B17" s="101" t="s">
        <v>173</v>
      </c>
      <c r="C17" s="129">
        <f>'Ohio Urban Hospitals Financial '!K47</f>
        <v>0.26724300000000001</v>
      </c>
    </row>
    <row r="18" spans="2:3" ht="16" x14ac:dyDescent="0.2">
      <c r="B18" s="65"/>
      <c r="C18" s="126"/>
    </row>
    <row r="19" spans="2:3" ht="16" x14ac:dyDescent="0.2">
      <c r="B19" s="101" t="s">
        <v>174</v>
      </c>
      <c r="C19" s="127">
        <v>3603</v>
      </c>
    </row>
    <row r="20" spans="2:3" ht="16" x14ac:dyDescent="0.2">
      <c r="B20" s="102" t="s">
        <v>175</v>
      </c>
      <c r="C20" s="127">
        <v>2161.8000000000002</v>
      </c>
    </row>
    <row r="21" spans="2:3" ht="17" thickBot="1" x14ac:dyDescent="0.25">
      <c r="B21" s="103" t="s">
        <v>176</v>
      </c>
      <c r="C21" s="130">
        <v>1441.2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89AB-0073-C342-A511-DDFF43E419C0}">
  <dimension ref="A1:X71"/>
  <sheetViews>
    <sheetView showGridLines="0" topLeftCell="C1" zoomScale="96" zoomScaleNormal="96" workbookViewId="0">
      <pane ySplit="2" topLeftCell="A3" activePane="bottomLeft" state="frozen"/>
      <selection activeCell="K1" sqref="K1"/>
      <selection pane="bottomLeft" activeCell="L2" sqref="L1:L1048576"/>
    </sheetView>
  </sheetViews>
  <sheetFormatPr baseColWidth="10" defaultColWidth="8.83203125" defaultRowHeight="16" x14ac:dyDescent="0.2"/>
  <cols>
    <col min="2" max="2" width="10.1640625" style="3" customWidth="1"/>
    <col min="3" max="3" width="48" style="3" customWidth="1"/>
    <col min="4" max="4" width="11.1640625" customWidth="1"/>
    <col min="5" max="5" width="76.33203125" style="4" customWidth="1"/>
    <col min="6" max="6" width="11.5" style="5" customWidth="1"/>
    <col min="7" max="7" width="17.33203125" style="4" customWidth="1"/>
    <col min="8" max="8" width="16" customWidth="1"/>
    <col min="9" max="9" width="12.5" bestFit="1" customWidth="1"/>
    <col min="10" max="10" width="14.83203125" customWidth="1"/>
    <col min="11" max="11" width="13.5" bestFit="1" customWidth="1"/>
    <col min="12" max="12" width="16" customWidth="1"/>
    <col min="13" max="13" width="16" bestFit="1" customWidth="1"/>
    <col min="14" max="14" width="15" bestFit="1" customWidth="1"/>
    <col min="15" max="15" width="13.83203125" style="1" customWidth="1"/>
    <col min="16" max="16" width="17.33203125" style="1" bestFit="1" customWidth="1"/>
    <col min="17" max="17" width="17.33203125" style="1" customWidth="1"/>
    <col min="18" max="18" width="19.5" style="1" bestFit="1" customWidth="1"/>
    <col min="19" max="19" width="12.6640625" customWidth="1"/>
    <col min="20" max="20" width="18.6640625" customWidth="1"/>
    <col min="21" max="22" width="20" customWidth="1"/>
    <col min="23" max="23" width="16.1640625" customWidth="1"/>
    <col min="24" max="24" width="22.5" bestFit="1" customWidth="1"/>
  </cols>
  <sheetData>
    <row r="1" spans="1:24" ht="30" thickBot="1" x14ac:dyDescent="0.4">
      <c r="A1" s="163" t="s">
        <v>380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5"/>
      <c r="O1" s="166" t="s">
        <v>383</v>
      </c>
      <c r="P1" s="167"/>
      <c r="Q1" s="167"/>
      <c r="R1" s="168"/>
      <c r="S1" s="169" t="s">
        <v>381</v>
      </c>
      <c r="T1" s="170"/>
      <c r="U1" s="170"/>
      <c r="V1" s="170"/>
      <c r="W1" s="170"/>
      <c r="X1" s="171"/>
    </row>
    <row r="2" spans="1:24" s="26" customFormat="1" ht="84" customHeight="1" x14ac:dyDescent="0.2">
      <c r="A2" s="51" t="s">
        <v>177</v>
      </c>
      <c r="B2" s="115" t="s">
        <v>245</v>
      </c>
      <c r="C2" s="115" t="s">
        <v>246</v>
      </c>
      <c r="D2" s="116" t="s">
        <v>247</v>
      </c>
      <c r="E2" s="116" t="s">
        <v>248</v>
      </c>
      <c r="F2" s="117" t="s">
        <v>249</v>
      </c>
      <c r="G2" s="118" t="s">
        <v>250</v>
      </c>
      <c r="H2" s="113" t="s">
        <v>388</v>
      </c>
      <c r="I2" s="113" t="s">
        <v>389</v>
      </c>
      <c r="J2" s="113" t="s">
        <v>399</v>
      </c>
      <c r="K2" s="113" t="s">
        <v>398</v>
      </c>
      <c r="L2" s="113" t="s">
        <v>255</v>
      </c>
      <c r="M2" s="113" t="s">
        <v>256</v>
      </c>
      <c r="N2" s="52" t="s">
        <v>257</v>
      </c>
      <c r="O2" s="104" t="s">
        <v>258</v>
      </c>
      <c r="P2" s="114" t="s">
        <v>259</v>
      </c>
      <c r="Q2" s="114" t="s">
        <v>400</v>
      </c>
      <c r="R2" s="105" t="s">
        <v>260</v>
      </c>
      <c r="S2" s="62" t="s">
        <v>261</v>
      </c>
      <c r="T2" s="109" t="s">
        <v>401</v>
      </c>
      <c r="U2" s="109" t="s">
        <v>385</v>
      </c>
      <c r="V2" s="109" t="s">
        <v>387</v>
      </c>
      <c r="W2" s="109" t="s">
        <v>262</v>
      </c>
      <c r="X2" s="63" t="s">
        <v>384</v>
      </c>
    </row>
    <row r="3" spans="1:24" x14ac:dyDescent="0.2">
      <c r="A3" s="53" t="s">
        <v>182</v>
      </c>
      <c r="B3" s="119" t="s">
        <v>264</v>
      </c>
      <c r="C3" s="119" t="s">
        <v>265</v>
      </c>
      <c r="D3" s="20" t="s">
        <v>266</v>
      </c>
      <c r="E3" s="120" t="s">
        <v>267</v>
      </c>
      <c r="F3" s="121">
        <v>5.7313999999999998</v>
      </c>
      <c r="G3" s="122">
        <v>7.3</v>
      </c>
      <c r="H3" s="110">
        <f>F3*Input!$C$15</f>
        <v>35119.93536933478</v>
      </c>
      <c r="I3" s="110">
        <f>F3*Input!$C$13</f>
        <v>2772.6220639999997</v>
      </c>
      <c r="J3" s="110">
        <f>H3+I3</f>
        <v>37892.557433334783</v>
      </c>
      <c r="K3" s="28">
        <f>(Input!$C$21*'Master Table'!G3)+Input!$C$20</f>
        <v>12682.560000000001</v>
      </c>
      <c r="L3" s="110">
        <f t="shared" ref="L3:L34" si="0">J3-K3</f>
        <v>25209.997433334782</v>
      </c>
      <c r="M3" s="20">
        <f>VLOOKUP(A3,'Good Samaritan Hospital'!$G:$I,3,FALSE)</f>
        <v>14</v>
      </c>
      <c r="N3" s="54">
        <f t="shared" ref="N3:N34" si="1">L3*M3</f>
        <v>352939.96406668692</v>
      </c>
      <c r="O3" s="65">
        <f>'SC1 Admission Drop Scenario'!S3</f>
        <v>13</v>
      </c>
      <c r="P3" s="30">
        <f>'SC1 Admission Drop Scenario'!T3</f>
        <v>327729.96663335216</v>
      </c>
      <c r="Q3" s="30">
        <f>Table1[[#This Row],[New Total Net Margin]]-Table1[[#This Row],[Total net Margin]]</f>
        <v>-25209.997433334764</v>
      </c>
      <c r="R3" s="66">
        <f>(Table1[[#This Row],[New Total Net Margin]]-Table1[[#This Row],[Total net Margin]])/Table1[[#This Row],[Total net Margin]]</f>
        <v>-7.1428571428571383E-2</v>
      </c>
      <c r="S3" s="64">
        <f>'SC2 Reduce LOS'!P3</f>
        <v>6.8</v>
      </c>
      <c r="T3" s="30">
        <f>'SC2 Reduce LOS'!Q3</f>
        <v>11961.96</v>
      </c>
      <c r="U3" s="30">
        <f>(Table1[[#This Row],[Cost/ Discharge]]-Table1[[#This Row],[New Cost/Discharge]])*Table1[[#This Row],[Discharge Volume]]</f>
        <v>10088.400000000031</v>
      </c>
      <c r="V3" s="108">
        <f>'SC2 Reduce LOS'!S3</f>
        <v>-5.6818181818181983E-2</v>
      </c>
      <c r="W3" s="30">
        <f>'SC2 Reduce LOS'!T3</f>
        <v>25930.597433334784</v>
      </c>
      <c r="X3" s="55">
        <f>'SC2 Reduce LOS'!U3</f>
        <v>363028.36406668695</v>
      </c>
    </row>
    <row r="4" spans="1:24" x14ac:dyDescent="0.2">
      <c r="A4" s="53" t="s">
        <v>183</v>
      </c>
      <c r="B4" s="32" t="s">
        <v>264</v>
      </c>
      <c r="C4" s="119" t="s">
        <v>265</v>
      </c>
      <c r="D4" s="29" t="s">
        <v>266</v>
      </c>
      <c r="E4" s="31" t="s">
        <v>269</v>
      </c>
      <c r="F4" s="33">
        <v>4.5404999999999998</v>
      </c>
      <c r="G4" s="34">
        <v>6.6</v>
      </c>
      <c r="H4" s="27">
        <f>F4*Input!$C$15</f>
        <v>27822.533158471677</v>
      </c>
      <c r="I4" s="27">
        <f>F4*Input!$C$13</f>
        <v>2196.5122799999999</v>
      </c>
      <c r="J4" s="27">
        <f t="shared" ref="J4:J11" si="2">H4+I4</f>
        <v>30019.045438471676</v>
      </c>
      <c r="K4" s="30">
        <f>(Input!$C$21*'Master Table'!G4)+Input!$C$20</f>
        <v>11673.720000000001</v>
      </c>
      <c r="L4" s="27">
        <f t="shared" si="0"/>
        <v>18345.325438471675</v>
      </c>
      <c r="M4" s="29">
        <f>VLOOKUP(A4,'Good Samaritan Hospital'!$G:$I,3,FALSE)</f>
        <v>23</v>
      </c>
      <c r="N4" s="55">
        <f t="shared" si="1"/>
        <v>421942.48508484854</v>
      </c>
      <c r="O4" s="65">
        <f>'SC1 Admission Drop Scenario'!S4</f>
        <v>21</v>
      </c>
      <c r="P4" s="30">
        <f>'SC1 Admission Drop Scenario'!T4</f>
        <v>385251.83420790517</v>
      </c>
      <c r="Q4" s="30">
        <f>Table1[[#This Row],[New Total Net Margin]]-Table1[[#This Row],[Total net Margin]]</f>
        <v>-36690.650876943371</v>
      </c>
      <c r="R4" s="66">
        <f>(Table1[[#This Row],[New Total Net Margin]]-Table1[[#This Row],[Total net Margin]])/Table1[[#This Row],[Total net Margin]]</f>
        <v>-8.6956521739130488E-2</v>
      </c>
      <c r="S4" s="64">
        <f>'SC2 Reduce LOS'!P4</f>
        <v>6.1</v>
      </c>
      <c r="T4" s="30">
        <f>'SC2 Reduce LOS'!Q4</f>
        <v>10953.119999999999</v>
      </c>
      <c r="U4" s="30">
        <f>(Table1[[#This Row],[Cost/ Discharge]]-Table1[[#This Row],[New Cost/Discharge]])*Table1[[#This Row],[Discharge Volume]]</f>
        <v>16573.80000000005</v>
      </c>
      <c r="V4" s="108">
        <f>'SC2 Reduce LOS'!S4</f>
        <v>-6.1728395061728579E-2</v>
      </c>
      <c r="W4" s="30">
        <f>'SC2 Reduce LOS'!T4</f>
        <v>19065.925438471677</v>
      </c>
      <c r="X4" s="55">
        <f>'SC2 Reduce LOS'!U4</f>
        <v>438516.28508484858</v>
      </c>
    </row>
    <row r="5" spans="1:24" x14ac:dyDescent="0.2">
      <c r="A5" s="53" t="s">
        <v>238</v>
      </c>
      <c r="B5" s="32" t="s">
        <v>264</v>
      </c>
      <c r="C5" s="119" t="s">
        <v>265</v>
      </c>
      <c r="D5" s="29" t="s">
        <v>266</v>
      </c>
      <c r="E5" s="31" t="s">
        <v>270</v>
      </c>
      <c r="F5" s="33">
        <v>2.4954000000000001</v>
      </c>
      <c r="G5" s="34">
        <v>1.8</v>
      </c>
      <c r="H5" s="27">
        <f>F5*Input!$C$15</f>
        <v>15290.903918874623</v>
      </c>
      <c r="I5" s="27">
        <f>F5*Input!$C$13</f>
        <v>1207.174704</v>
      </c>
      <c r="J5" s="27">
        <f t="shared" si="2"/>
        <v>16498.078622874622</v>
      </c>
      <c r="K5" s="30">
        <f>(Input!$C$21*'Master Table'!G5)+Input!$C$20</f>
        <v>4755.9600000000009</v>
      </c>
      <c r="L5" s="27">
        <f t="shared" si="0"/>
        <v>11742.118622874621</v>
      </c>
      <c r="M5" s="29">
        <f>VLOOKUP(A5,'Good Samaritan Hospital'!$G:$I,3,FALSE)</f>
        <v>15</v>
      </c>
      <c r="N5" s="55">
        <f t="shared" si="1"/>
        <v>176131.77934311933</v>
      </c>
      <c r="O5" s="65">
        <f>'SC1 Admission Drop Scenario'!S5</f>
        <v>14</v>
      </c>
      <c r="P5" s="30">
        <f>'SC1 Admission Drop Scenario'!T5</f>
        <v>164389.66072024469</v>
      </c>
      <c r="Q5" s="30">
        <f>Table1[[#This Row],[New Total Net Margin]]-Table1[[#This Row],[Total net Margin]]</f>
        <v>-11742.118622874637</v>
      </c>
      <c r="R5" s="66">
        <f>(Table1[[#This Row],[New Total Net Margin]]-Table1[[#This Row],[Total net Margin]])/Table1[[#This Row],[Total net Margin]]</f>
        <v>-6.6666666666666749E-2</v>
      </c>
      <c r="S5" s="64">
        <f>'SC2 Reduce LOS'!P5</f>
        <v>1.3</v>
      </c>
      <c r="T5" s="30">
        <f>'SC2 Reduce LOS'!Q5</f>
        <v>4035.3600000000006</v>
      </c>
      <c r="U5" s="30">
        <f>(Table1[[#This Row],[Cost/ Discharge]]-Table1[[#This Row],[New Cost/Discharge]])*Table1[[#This Row],[Discharge Volume]]</f>
        <v>10809.000000000005</v>
      </c>
      <c r="V5" s="108">
        <f>'SC2 Reduce LOS'!S5</f>
        <v>-0.15151515151515157</v>
      </c>
      <c r="W5" s="30">
        <f>'SC2 Reduce LOS'!T5</f>
        <v>12462.718622874621</v>
      </c>
      <c r="X5" s="55">
        <f>'SC2 Reduce LOS'!U5</f>
        <v>186940.77934311933</v>
      </c>
    </row>
    <row r="6" spans="1:24" x14ac:dyDescent="0.2">
      <c r="A6" s="53" t="s">
        <v>204</v>
      </c>
      <c r="B6" s="32" t="s">
        <v>264</v>
      </c>
      <c r="C6" s="119" t="s">
        <v>265</v>
      </c>
      <c r="D6" s="29" t="s">
        <v>271</v>
      </c>
      <c r="E6" s="31" t="s">
        <v>272</v>
      </c>
      <c r="F6" s="33">
        <v>1.3015000000000001</v>
      </c>
      <c r="G6" s="34">
        <v>3.8</v>
      </c>
      <c r="H6" s="27">
        <f>F6*Input!$C$15</f>
        <v>7975.1187987558396</v>
      </c>
      <c r="I6" s="27">
        <f>F6*Input!$C$13</f>
        <v>629.61364000000003</v>
      </c>
      <c r="J6" s="27">
        <f t="shared" si="2"/>
        <v>8604.7324387558401</v>
      </c>
      <c r="K6" s="30">
        <f>(Input!$C$21*'Master Table'!G6)+Input!$C$20</f>
        <v>7638.36</v>
      </c>
      <c r="L6" s="27">
        <f t="shared" si="0"/>
        <v>966.37243875584045</v>
      </c>
      <c r="M6" s="29">
        <f>VLOOKUP(A6,'Good Samaritan Hospital'!$G:$I,3,FALSE)</f>
        <v>14</v>
      </c>
      <c r="N6" s="55">
        <f t="shared" si="1"/>
        <v>13529.214142581766</v>
      </c>
      <c r="O6" s="65">
        <f>'SC1 Admission Drop Scenario'!S6</f>
        <v>13</v>
      </c>
      <c r="P6" s="30">
        <f>'SC1 Admission Drop Scenario'!T6</f>
        <v>12562.841703825925</v>
      </c>
      <c r="Q6" s="30">
        <f>Table1[[#This Row],[New Total Net Margin]]-Table1[[#This Row],[Total net Margin]]</f>
        <v>-966.37243875584136</v>
      </c>
      <c r="R6" s="66">
        <f>(Table1[[#This Row],[New Total Net Margin]]-Table1[[#This Row],[Total net Margin]])/Table1[[#This Row],[Total net Margin]]</f>
        <v>-7.1428571428571494E-2</v>
      </c>
      <c r="S6" s="64">
        <f>'SC2 Reduce LOS'!P6</f>
        <v>3.3</v>
      </c>
      <c r="T6" s="30">
        <f>'SC2 Reduce LOS'!Q6</f>
        <v>6917.76</v>
      </c>
      <c r="U6" s="30">
        <f>(Table1[[#This Row],[Cost/ Discharge]]-Table1[[#This Row],[New Cost/Discharge]])*Table1[[#This Row],[Discharge Volume]]</f>
        <v>10088.399999999992</v>
      </c>
      <c r="V6" s="108">
        <f>'SC2 Reduce LOS'!S6</f>
        <v>-9.4339622641509371E-2</v>
      </c>
      <c r="W6" s="30">
        <f>'SC2 Reduce LOS'!T6</f>
        <v>1686.9724387558399</v>
      </c>
      <c r="X6" s="55">
        <f>'SC2 Reduce LOS'!U6</f>
        <v>23617.614142581759</v>
      </c>
    </row>
    <row r="7" spans="1:24" x14ac:dyDescent="0.2">
      <c r="A7" s="53" t="s">
        <v>192</v>
      </c>
      <c r="B7" s="32" t="s">
        <v>264</v>
      </c>
      <c r="C7" s="119" t="s">
        <v>265</v>
      </c>
      <c r="D7" s="29" t="s">
        <v>271</v>
      </c>
      <c r="E7" s="31" t="s">
        <v>273</v>
      </c>
      <c r="F7" s="33">
        <v>1.972</v>
      </c>
      <c r="G7" s="34">
        <v>4.5</v>
      </c>
      <c r="H7" s="27">
        <f>F7*Input!$C$15</f>
        <v>12083.699017400319</v>
      </c>
      <c r="I7" s="27">
        <f>F7*Input!$C$13</f>
        <v>953.97471999999993</v>
      </c>
      <c r="J7" s="27">
        <f t="shared" si="2"/>
        <v>13037.673737400319</v>
      </c>
      <c r="K7" s="30">
        <f>(Input!$C$21*'Master Table'!G7)+Input!$C$20</f>
        <v>8647.2000000000007</v>
      </c>
      <c r="L7" s="27">
        <f t="shared" si="0"/>
        <v>4390.473737400318</v>
      </c>
      <c r="M7" s="29">
        <f>VLOOKUP(A7,'Good Samaritan Hospital'!$G:$I,3,FALSE)</f>
        <v>67</v>
      </c>
      <c r="N7" s="55">
        <f t="shared" si="1"/>
        <v>294161.7404058213</v>
      </c>
      <c r="O7" s="65">
        <f>'SC1 Admission Drop Scenario'!S7</f>
        <v>62</v>
      </c>
      <c r="P7" s="30">
        <f>'SC1 Admission Drop Scenario'!T7</f>
        <v>272209.37171881972</v>
      </c>
      <c r="Q7" s="30">
        <f>Table1[[#This Row],[New Total Net Margin]]-Table1[[#This Row],[Total net Margin]]</f>
        <v>-21952.368687001581</v>
      </c>
      <c r="R7" s="66">
        <f>(Table1[[#This Row],[New Total Net Margin]]-Table1[[#This Row],[Total net Margin]])/Table1[[#This Row],[Total net Margin]]</f>
        <v>-7.4626865671641757E-2</v>
      </c>
      <c r="S7" s="64">
        <f>'SC2 Reduce LOS'!P7</f>
        <v>4</v>
      </c>
      <c r="T7" s="30">
        <f>'SC2 Reduce LOS'!Q7</f>
        <v>7926.6</v>
      </c>
      <c r="U7" s="30">
        <f>(Table1[[#This Row],[Cost/ Discharge]]-Table1[[#This Row],[New Cost/Discharge]])*Table1[[#This Row],[Discharge Volume]]</f>
        <v>48280.200000000026</v>
      </c>
      <c r="V7" s="108">
        <f>'SC2 Reduce LOS'!S7</f>
        <v>-8.333333333333337E-2</v>
      </c>
      <c r="W7" s="30">
        <f>'SC2 Reduce LOS'!T7</f>
        <v>5111.0737374003184</v>
      </c>
      <c r="X7" s="55">
        <f>'SC2 Reduce LOS'!U7</f>
        <v>342441.94040582131</v>
      </c>
    </row>
    <row r="8" spans="1:24" x14ac:dyDescent="0.2">
      <c r="A8" s="53" t="s">
        <v>221</v>
      </c>
      <c r="B8" s="32" t="s">
        <v>264</v>
      </c>
      <c r="C8" s="119" t="s">
        <v>265</v>
      </c>
      <c r="D8" s="29" t="s">
        <v>271</v>
      </c>
      <c r="E8" s="31" t="s">
        <v>274</v>
      </c>
      <c r="F8" s="33">
        <v>1.0164</v>
      </c>
      <c r="G8" s="34">
        <v>2.9</v>
      </c>
      <c r="H8" s="27">
        <f>F8*Input!$C$15</f>
        <v>6228.129655824383</v>
      </c>
      <c r="I8" s="27">
        <f>F8*Input!$C$13</f>
        <v>491.69366399999996</v>
      </c>
      <c r="J8" s="27">
        <f t="shared" si="2"/>
        <v>6719.8233198243834</v>
      </c>
      <c r="K8" s="30">
        <f>(Input!$C$21*'Master Table'!G8)+Input!$C$20</f>
        <v>6341.28</v>
      </c>
      <c r="L8" s="27">
        <f t="shared" si="0"/>
        <v>378.54331982438362</v>
      </c>
      <c r="M8" s="29">
        <f>VLOOKUP(A8,'Good Samaritan Hospital'!$G:$I,3,FALSE)</f>
        <v>52</v>
      </c>
      <c r="N8" s="55">
        <f t="shared" si="1"/>
        <v>19684.252630867948</v>
      </c>
      <c r="O8" s="65">
        <f>'SC1 Admission Drop Scenario'!S8</f>
        <v>48</v>
      </c>
      <c r="P8" s="30">
        <f>'SC1 Admission Drop Scenario'!T8</f>
        <v>18170.079351570414</v>
      </c>
      <c r="Q8" s="30">
        <f>Table1[[#This Row],[New Total Net Margin]]-Table1[[#This Row],[Total net Margin]]</f>
        <v>-1514.1732792975345</v>
      </c>
      <c r="R8" s="66">
        <f>(Table1[[#This Row],[New Total Net Margin]]-Table1[[#This Row],[Total net Margin]])/Table1[[#This Row],[Total net Margin]]</f>
        <v>-7.6923076923076927E-2</v>
      </c>
      <c r="S8" s="64">
        <f>'SC2 Reduce LOS'!P8</f>
        <v>2.4</v>
      </c>
      <c r="T8" s="30">
        <f>'SC2 Reduce LOS'!Q8</f>
        <v>5620.68</v>
      </c>
      <c r="U8" s="30">
        <f>(Table1[[#This Row],[Cost/ Discharge]]-Table1[[#This Row],[New Cost/Discharge]])*Table1[[#This Row],[Discharge Volume]]</f>
        <v>37471.199999999968</v>
      </c>
      <c r="V8" s="108">
        <f>'SC2 Reduce LOS'!S8</f>
        <v>-0.11363636363636355</v>
      </c>
      <c r="W8" s="30">
        <f>'SC2 Reduce LOS'!T8</f>
        <v>1099.1433198243831</v>
      </c>
      <c r="X8" s="55">
        <f>'SC2 Reduce LOS'!U8</f>
        <v>57155.45263086792</v>
      </c>
    </row>
    <row r="9" spans="1:24" x14ac:dyDescent="0.2">
      <c r="A9" s="53" t="s">
        <v>237</v>
      </c>
      <c r="B9" s="32" t="s">
        <v>264</v>
      </c>
      <c r="C9" s="119" t="s">
        <v>265</v>
      </c>
      <c r="D9" s="29" t="s">
        <v>271</v>
      </c>
      <c r="E9" s="31" t="s">
        <v>275</v>
      </c>
      <c r="F9" s="33">
        <v>0.79790000000000005</v>
      </c>
      <c r="G9" s="34">
        <v>2</v>
      </c>
      <c r="H9" s="27">
        <f>F9*Input!$C$15</f>
        <v>4889.2410983690243</v>
      </c>
      <c r="I9" s="27">
        <f>F9*Input!$C$13</f>
        <v>385.99210400000004</v>
      </c>
      <c r="J9" s="27">
        <f t="shared" si="2"/>
        <v>5275.2332023690242</v>
      </c>
      <c r="K9" s="30">
        <f>(Input!$C$21*'Master Table'!G9)+Input!$C$20</f>
        <v>5044.2000000000007</v>
      </c>
      <c r="L9" s="27">
        <f t="shared" si="0"/>
        <v>231.03320236902346</v>
      </c>
      <c r="M9" s="29">
        <f>VLOOKUP(A9,'Good Samaritan Hospital'!$G:$I,3,FALSE)</f>
        <v>11</v>
      </c>
      <c r="N9" s="55">
        <f t="shared" si="1"/>
        <v>2541.365226059258</v>
      </c>
      <c r="O9" s="65">
        <f>'SC1 Admission Drop Scenario'!S9</f>
        <v>10</v>
      </c>
      <c r="P9" s="30">
        <f>'SC1 Admission Drop Scenario'!T9</f>
        <v>2310.3320236902346</v>
      </c>
      <c r="Q9" s="30">
        <f>Table1[[#This Row],[New Total Net Margin]]-Table1[[#This Row],[Total net Margin]]</f>
        <v>-231.03320236902346</v>
      </c>
      <c r="R9" s="66">
        <f>(Table1[[#This Row],[New Total Net Margin]]-Table1[[#This Row],[Total net Margin]])/Table1[[#This Row],[Total net Margin]]</f>
        <v>-9.0909090909090912E-2</v>
      </c>
      <c r="S9" s="64">
        <f>'SC2 Reduce LOS'!P9</f>
        <v>1.5</v>
      </c>
      <c r="T9" s="30">
        <f>'SC2 Reduce LOS'!Q9</f>
        <v>4323.6000000000004</v>
      </c>
      <c r="U9" s="30">
        <f>(Table1[[#This Row],[Cost/ Discharge]]-Table1[[#This Row],[New Cost/Discharge]])*Table1[[#This Row],[Discharge Volume]]</f>
        <v>7926.600000000004</v>
      </c>
      <c r="V9" s="108">
        <f>'SC2 Reduce LOS'!S9</f>
        <v>-0.1428571428571429</v>
      </c>
      <c r="W9" s="30">
        <f>'SC2 Reduce LOS'!T9</f>
        <v>951.63320236902382</v>
      </c>
      <c r="X9" s="55">
        <f>'SC2 Reduce LOS'!U9</f>
        <v>10467.965226059263</v>
      </c>
    </row>
    <row r="10" spans="1:24" x14ac:dyDescent="0.2">
      <c r="A10" s="53" t="s">
        <v>190</v>
      </c>
      <c r="B10" s="32" t="s">
        <v>264</v>
      </c>
      <c r="C10" s="119" t="s">
        <v>265</v>
      </c>
      <c r="D10" s="29" t="s">
        <v>271</v>
      </c>
      <c r="E10" s="31" t="s">
        <v>276</v>
      </c>
      <c r="F10" s="33">
        <v>1.7242</v>
      </c>
      <c r="G10" s="34">
        <v>4.5999999999999996</v>
      </c>
      <c r="H10" s="27">
        <f>F10*Input!$C$15</f>
        <v>10565.270712881151</v>
      </c>
      <c r="I10" s="27">
        <f>F10*Input!$C$13</f>
        <v>834.09899199999995</v>
      </c>
      <c r="J10" s="27">
        <f t="shared" si="2"/>
        <v>11399.36970488115</v>
      </c>
      <c r="K10" s="30">
        <f>(Input!$C$21*'Master Table'!G10)+Input!$C$20</f>
        <v>8791.32</v>
      </c>
      <c r="L10" s="27">
        <f t="shared" si="0"/>
        <v>2608.0497048811503</v>
      </c>
      <c r="M10" s="29">
        <f>VLOOKUP(A10,'Good Samaritan Hospital'!$G:$I,3,FALSE)</f>
        <v>18</v>
      </c>
      <c r="N10" s="55">
        <f t="shared" si="1"/>
        <v>46944.894687860709</v>
      </c>
      <c r="O10" s="65">
        <f>'SC1 Admission Drop Scenario'!S10</f>
        <v>17</v>
      </c>
      <c r="P10" s="30">
        <f>'SC1 Admission Drop Scenario'!T10</f>
        <v>44336.844982979557</v>
      </c>
      <c r="Q10" s="30">
        <f>Table1[[#This Row],[New Total Net Margin]]-Table1[[#This Row],[Total net Margin]]</f>
        <v>-2608.0497048811521</v>
      </c>
      <c r="R10" s="66">
        <f>(Table1[[#This Row],[New Total Net Margin]]-Table1[[#This Row],[Total net Margin]])/Table1[[#This Row],[Total net Margin]]</f>
        <v>-5.5555555555555587E-2</v>
      </c>
      <c r="S10" s="64">
        <f>'SC2 Reduce LOS'!P10</f>
        <v>4.0999999999999996</v>
      </c>
      <c r="T10" s="30">
        <f>'SC2 Reduce LOS'!Q10</f>
        <v>8070.72</v>
      </c>
      <c r="U10" s="30">
        <f>(Table1[[#This Row],[Cost/ Discharge]]-Table1[[#This Row],[New Cost/Discharge]])*Table1[[#This Row],[Discharge Volume]]</f>
        <v>12970.79999999999</v>
      </c>
      <c r="V10" s="108">
        <f>'SC2 Reduce LOS'!S10</f>
        <v>-8.1967213114754037E-2</v>
      </c>
      <c r="W10" s="30">
        <f>'SC2 Reduce LOS'!T10</f>
        <v>3328.6497048811498</v>
      </c>
      <c r="X10" s="55">
        <f>'SC2 Reduce LOS'!U10</f>
        <v>59915.694687860698</v>
      </c>
    </row>
    <row r="11" spans="1:24" x14ac:dyDescent="0.2">
      <c r="A11" s="53" t="s">
        <v>214</v>
      </c>
      <c r="B11" s="32" t="s">
        <v>264</v>
      </c>
      <c r="C11" s="119" t="s">
        <v>265</v>
      </c>
      <c r="D11" s="29" t="s">
        <v>271</v>
      </c>
      <c r="E11" s="31" t="s">
        <v>277</v>
      </c>
      <c r="F11" s="33">
        <v>1.069</v>
      </c>
      <c r="G11" s="34">
        <v>3.4</v>
      </c>
      <c r="H11" s="27">
        <f>F11*Input!$C$15</f>
        <v>6550.4433314406397</v>
      </c>
      <c r="I11" s="27">
        <f>F11*Input!$C$13</f>
        <v>517.13943999999992</v>
      </c>
      <c r="J11" s="27">
        <f t="shared" si="2"/>
        <v>7067.5827714406396</v>
      </c>
      <c r="K11" s="30">
        <f>(Input!$C$21*'Master Table'!G11)+Input!$C$20</f>
        <v>7061.88</v>
      </c>
      <c r="L11" s="27">
        <f t="shared" si="0"/>
        <v>5.7027714406394807</v>
      </c>
      <c r="M11" s="29">
        <f>VLOOKUP(A11,'Good Samaritan Hospital'!$G:$I,3,FALSE)</f>
        <v>20</v>
      </c>
      <c r="N11" s="55">
        <f t="shared" si="1"/>
        <v>114.05542881278961</v>
      </c>
      <c r="O11" s="65">
        <f>'SC1 Admission Drop Scenario'!S11</f>
        <v>18</v>
      </c>
      <c r="P11" s="30">
        <f>'SC1 Admission Drop Scenario'!T11</f>
        <v>102.64988593151065</v>
      </c>
      <c r="Q11" s="30">
        <f>Table1[[#This Row],[New Total Net Margin]]-Table1[[#This Row],[Total net Margin]]</f>
        <v>-11.405542881278961</v>
      </c>
      <c r="R11" s="66">
        <f>(Table1[[#This Row],[New Total Net Margin]]-Table1[[#This Row],[Total net Margin]])/Table1[[#This Row],[Total net Margin]]</f>
        <v>-0.1</v>
      </c>
      <c r="S11" s="64">
        <f>'SC2 Reduce LOS'!P11</f>
        <v>2.9</v>
      </c>
      <c r="T11" s="30">
        <f>'SC2 Reduce LOS'!Q11</f>
        <v>6341.28</v>
      </c>
      <c r="U11" s="30">
        <f>(Table1[[#This Row],[Cost/ Discharge]]-Table1[[#This Row],[New Cost/Discharge]])*Table1[[#This Row],[Discharge Volume]]</f>
        <v>14412.000000000007</v>
      </c>
      <c r="V11" s="108">
        <f>'SC2 Reduce LOS'!S11</f>
        <v>-0.10204081632653066</v>
      </c>
      <c r="W11" s="30">
        <f>'SC2 Reduce LOS'!T11</f>
        <v>726.30277144063984</v>
      </c>
      <c r="X11" s="55">
        <f>'SC2 Reduce LOS'!U11</f>
        <v>14526.055428812797</v>
      </c>
    </row>
    <row r="12" spans="1:24" x14ac:dyDescent="0.2">
      <c r="A12" s="53" t="s">
        <v>195</v>
      </c>
      <c r="B12" s="32" t="s">
        <v>264</v>
      </c>
      <c r="C12" s="119" t="s">
        <v>265</v>
      </c>
      <c r="D12" s="29" t="s">
        <v>271</v>
      </c>
      <c r="E12" s="31" t="s">
        <v>278</v>
      </c>
      <c r="F12" s="33">
        <v>1.921</v>
      </c>
      <c r="G12" s="34">
        <v>4.4000000000000004</v>
      </c>
      <c r="H12" s="27">
        <f>F12*Input!$C$15</f>
        <v>11771.189560053759</v>
      </c>
      <c r="I12" s="27">
        <f>F12*Input!$C$13</f>
        <v>929.30295999999998</v>
      </c>
      <c r="J12" s="27">
        <f t="shared" ref="J12:J13" si="3">H12+I12</f>
        <v>12700.492520053758</v>
      </c>
      <c r="K12" s="30">
        <f>(Input!$C$21*'Master Table'!G12)+Input!$C$20</f>
        <v>8503.0800000000017</v>
      </c>
      <c r="L12" s="27">
        <f t="shared" si="0"/>
        <v>4197.4125200537565</v>
      </c>
      <c r="M12" s="29">
        <f>VLOOKUP(A12,'Good Samaritan Hospital'!$G:$I,3,FALSE)</f>
        <v>19</v>
      </c>
      <c r="N12" s="55">
        <f t="shared" si="1"/>
        <v>79750.837881021376</v>
      </c>
      <c r="O12" s="65">
        <f>'SC1 Admission Drop Scenario'!S12</f>
        <v>17</v>
      </c>
      <c r="P12" s="30">
        <f>'SC1 Admission Drop Scenario'!T12</f>
        <v>71356.012840913856</v>
      </c>
      <c r="Q12" s="30">
        <f>Table1[[#This Row],[New Total Net Margin]]-Table1[[#This Row],[Total net Margin]]</f>
        <v>-8394.8250401075202</v>
      </c>
      <c r="R12" s="66">
        <f>(Table1[[#This Row],[New Total Net Margin]]-Table1[[#This Row],[Total net Margin]])/Table1[[#This Row],[Total net Margin]]</f>
        <v>-0.10526315789473693</v>
      </c>
      <c r="S12" s="64">
        <f>'SC2 Reduce LOS'!P12</f>
        <v>3.9000000000000004</v>
      </c>
      <c r="T12" s="30">
        <f>'SC2 Reduce LOS'!Q12</f>
        <v>7782.4800000000005</v>
      </c>
      <c r="U12" s="30">
        <f>(Table1[[#This Row],[Cost/ Discharge]]-Table1[[#This Row],[New Cost/Discharge]])*Table1[[#This Row],[Discharge Volume]]</f>
        <v>13691.400000000023</v>
      </c>
      <c r="V12" s="108">
        <f>'SC2 Reduce LOS'!S12</f>
        <v>-8.4745762711864542E-2</v>
      </c>
      <c r="W12" s="30">
        <f>'SC2 Reduce LOS'!T12</f>
        <v>4918.0125200537577</v>
      </c>
      <c r="X12" s="55">
        <f>'SC2 Reduce LOS'!U12</f>
        <v>93442.2378810214</v>
      </c>
    </row>
    <row r="13" spans="1:24" x14ac:dyDescent="0.2">
      <c r="A13" s="53" t="s">
        <v>226</v>
      </c>
      <c r="B13" s="32" t="s">
        <v>264</v>
      </c>
      <c r="C13" s="119" t="s">
        <v>265</v>
      </c>
      <c r="D13" s="29" t="s">
        <v>271</v>
      </c>
      <c r="E13" s="31" t="s">
        <v>279</v>
      </c>
      <c r="F13" s="33">
        <v>0.90149999999999997</v>
      </c>
      <c r="G13" s="34">
        <v>2.6</v>
      </c>
      <c r="H13" s="27">
        <f>F13*Input!$C$15</f>
        <v>5524.0642313318394</v>
      </c>
      <c r="I13" s="27">
        <f>F13*Input!$C$13</f>
        <v>436.10963999999996</v>
      </c>
      <c r="J13" s="27">
        <f t="shared" si="3"/>
        <v>5960.1738713318391</v>
      </c>
      <c r="K13" s="30">
        <f>(Input!$C$21*'Master Table'!G13)+Input!$C$20</f>
        <v>5908.92</v>
      </c>
      <c r="L13" s="27">
        <f t="shared" si="0"/>
        <v>51.253871331839036</v>
      </c>
      <c r="M13" s="29">
        <f>VLOOKUP(A13,'Good Samaritan Hospital'!$G:$I,3,FALSE)</f>
        <v>14</v>
      </c>
      <c r="N13" s="55">
        <f t="shared" si="1"/>
        <v>717.55419864574651</v>
      </c>
      <c r="O13" s="65">
        <f>'SC1 Admission Drop Scenario'!S13</f>
        <v>13</v>
      </c>
      <c r="P13" s="30">
        <f>'SC1 Admission Drop Scenario'!T13</f>
        <v>666.30032731390747</v>
      </c>
      <c r="Q13" s="30">
        <f>Table1[[#This Row],[New Total Net Margin]]-Table1[[#This Row],[Total net Margin]]</f>
        <v>-51.253871331839036</v>
      </c>
      <c r="R13" s="66">
        <f>(Table1[[#This Row],[New Total Net Margin]]-Table1[[#This Row],[Total net Margin]])/Table1[[#This Row],[Total net Margin]]</f>
        <v>-7.1428571428571425E-2</v>
      </c>
      <c r="S13" s="64">
        <f>'SC2 Reduce LOS'!P13</f>
        <v>2.1</v>
      </c>
      <c r="T13" s="30">
        <f>'SC2 Reduce LOS'!Q13</f>
        <v>5188.3200000000006</v>
      </c>
      <c r="U13" s="30">
        <f>(Table1[[#This Row],[Cost/ Discharge]]-Table1[[#This Row],[New Cost/Discharge]])*Table1[[#This Row],[Discharge Volume]]</f>
        <v>10088.399999999992</v>
      </c>
      <c r="V13" s="108">
        <f>'SC2 Reduce LOS'!S13</f>
        <v>-0.12195121951219502</v>
      </c>
      <c r="W13" s="30">
        <f>'SC2 Reduce LOS'!T13</f>
        <v>771.85387133183849</v>
      </c>
      <c r="X13" s="55">
        <f>'SC2 Reduce LOS'!U13</f>
        <v>10805.954198645739</v>
      </c>
    </row>
    <row r="14" spans="1:24" x14ac:dyDescent="0.2">
      <c r="A14" s="53" t="s">
        <v>200</v>
      </c>
      <c r="B14" s="35" t="s">
        <v>280</v>
      </c>
      <c r="C14" s="35" t="s">
        <v>281</v>
      </c>
      <c r="D14" s="29" t="s">
        <v>271</v>
      </c>
      <c r="E14" s="31" t="s">
        <v>282</v>
      </c>
      <c r="F14" s="33">
        <v>1.3968</v>
      </c>
      <c r="G14" s="34">
        <v>3.9</v>
      </c>
      <c r="H14" s="27">
        <f>F14*Input!$C$15</f>
        <v>8559.0825494446071</v>
      </c>
      <c r="I14" s="27">
        <f>F14*Input!$C$13</f>
        <v>675.71596799999998</v>
      </c>
      <c r="J14" s="27">
        <f t="shared" ref="J14:J19" si="4">H14+I14</f>
        <v>9234.7985174446076</v>
      </c>
      <c r="K14" s="30">
        <f>(Input!$C$21*'Master Table'!G14)+Input!$C$20</f>
        <v>7782.4800000000005</v>
      </c>
      <c r="L14" s="27">
        <f t="shared" si="0"/>
        <v>1452.3185174446071</v>
      </c>
      <c r="M14" s="29">
        <f>VLOOKUP(A14,'Good Samaritan Hospital'!$G:$I,3,FALSE)</f>
        <v>16</v>
      </c>
      <c r="N14" s="55">
        <f t="shared" si="1"/>
        <v>23237.096279113714</v>
      </c>
      <c r="O14" s="65">
        <f>'SC1 Admission Drop Scenario'!S14</f>
        <v>15</v>
      </c>
      <c r="P14" s="30">
        <f>'SC1 Admission Drop Scenario'!T14</f>
        <v>21784.777761669106</v>
      </c>
      <c r="Q14" s="30">
        <f>Table1[[#This Row],[New Total Net Margin]]-Table1[[#This Row],[Total net Margin]]</f>
        <v>-1452.318517444608</v>
      </c>
      <c r="R14" s="66">
        <f>(Table1[[#This Row],[New Total Net Margin]]-Table1[[#This Row],[Total net Margin]])/Table1[[#This Row],[Total net Margin]]</f>
        <v>-6.2500000000000042E-2</v>
      </c>
      <c r="S14" s="64">
        <f>'SC2 Reduce LOS'!P14</f>
        <v>3.4</v>
      </c>
      <c r="T14" s="30">
        <f>'SC2 Reduce LOS'!Q14</f>
        <v>7061.88</v>
      </c>
      <c r="U14" s="30">
        <f>(Table1[[#This Row],[Cost/ Discharge]]-Table1[[#This Row],[New Cost/Discharge]])*Table1[[#This Row],[Discharge Volume]]</f>
        <v>11529.600000000006</v>
      </c>
      <c r="V14" s="108">
        <f>'SC2 Reduce LOS'!S14</f>
        <v>-9.2592592592592629E-2</v>
      </c>
      <c r="W14" s="30">
        <f>'SC2 Reduce LOS'!T14</f>
        <v>2172.9185174446075</v>
      </c>
      <c r="X14" s="55">
        <f>'SC2 Reduce LOS'!U14</f>
        <v>34766.696279113719</v>
      </c>
    </row>
    <row r="15" spans="1:24" x14ac:dyDescent="0.2">
      <c r="A15" s="53" t="s">
        <v>185</v>
      </c>
      <c r="B15" s="35" t="s">
        <v>280</v>
      </c>
      <c r="C15" s="35" t="s">
        <v>281</v>
      </c>
      <c r="D15" s="29" t="s">
        <v>271</v>
      </c>
      <c r="E15" s="31" t="s">
        <v>283</v>
      </c>
      <c r="F15" s="33">
        <v>1.7799</v>
      </c>
      <c r="G15" s="34">
        <v>5.2</v>
      </c>
      <c r="H15" s="27">
        <f>F15*Input!$C$15</f>
        <v>10906.580061394943</v>
      </c>
      <c r="I15" s="27">
        <f>F15*Input!$C$13</f>
        <v>861.04442400000005</v>
      </c>
      <c r="J15" s="27">
        <f t="shared" si="4"/>
        <v>11767.624485394943</v>
      </c>
      <c r="K15" s="30">
        <f>(Input!$C$21*'Master Table'!G15)+Input!$C$20</f>
        <v>9656.0400000000009</v>
      </c>
      <c r="L15" s="27">
        <f t="shared" si="0"/>
        <v>2111.584485394942</v>
      </c>
      <c r="M15" s="29">
        <f>VLOOKUP(A15,'Good Samaritan Hospital'!$G:$I,3,FALSE)</f>
        <v>57</v>
      </c>
      <c r="N15" s="55">
        <f t="shared" si="1"/>
        <v>120360.31566751169</v>
      </c>
      <c r="O15" s="65">
        <f>'SC1 Admission Drop Scenario'!S15</f>
        <v>52</v>
      </c>
      <c r="P15" s="30">
        <f>'SC1 Admission Drop Scenario'!T15</f>
        <v>109802.39324053699</v>
      </c>
      <c r="Q15" s="30">
        <f>Table1[[#This Row],[New Total Net Margin]]-Table1[[#This Row],[Total net Margin]]</f>
        <v>-10557.922426974706</v>
      </c>
      <c r="R15" s="66">
        <f>(Table1[[#This Row],[New Total Net Margin]]-Table1[[#This Row],[Total net Margin]])/Table1[[#This Row],[Total net Margin]]</f>
        <v>-8.7719298245614002E-2</v>
      </c>
      <c r="S15" s="64">
        <f>'SC2 Reduce LOS'!P15</f>
        <v>4.7</v>
      </c>
      <c r="T15" s="30">
        <f>'SC2 Reduce LOS'!Q15</f>
        <v>8935.44</v>
      </c>
      <c r="U15" s="30">
        <f>(Table1[[#This Row],[Cost/ Discharge]]-Table1[[#This Row],[New Cost/Discharge]])*Table1[[#This Row],[Discharge Volume]]</f>
        <v>41074.200000000019</v>
      </c>
      <c r="V15" s="108">
        <f>'SC2 Reduce LOS'!S15</f>
        <v>-7.4626865671641826E-2</v>
      </c>
      <c r="W15" s="30">
        <f>'SC2 Reduce LOS'!T15</f>
        <v>2832.1844853949424</v>
      </c>
      <c r="X15" s="55">
        <f>'SC2 Reduce LOS'!U15</f>
        <v>161434.5156675117</v>
      </c>
    </row>
    <row r="16" spans="1:24" x14ac:dyDescent="0.2">
      <c r="A16" s="53" t="s">
        <v>207</v>
      </c>
      <c r="B16" s="35" t="s">
        <v>280</v>
      </c>
      <c r="C16" s="35" t="s">
        <v>281</v>
      </c>
      <c r="D16" s="29" t="s">
        <v>271</v>
      </c>
      <c r="E16" s="31" t="s">
        <v>284</v>
      </c>
      <c r="F16" s="33">
        <v>1.087</v>
      </c>
      <c r="G16" s="34">
        <v>3.6</v>
      </c>
      <c r="H16" s="27">
        <f>F16*Input!$C$15</f>
        <v>6660.7407869747194</v>
      </c>
      <c r="I16" s="27">
        <f>F16*Input!$C$13</f>
        <v>525.84712000000002</v>
      </c>
      <c r="J16" s="27">
        <f t="shared" si="4"/>
        <v>7186.5879069747198</v>
      </c>
      <c r="K16" s="30">
        <f>(Input!$C$21*'Master Table'!G16)+Input!$C$20</f>
        <v>7350.1200000000008</v>
      </c>
      <c r="L16" s="27">
        <f t="shared" si="0"/>
        <v>-163.53209302528103</v>
      </c>
      <c r="M16" s="29">
        <f>VLOOKUP(A16,'Good Samaritan Hospital'!$G:$I,3,FALSE)</f>
        <v>11</v>
      </c>
      <c r="N16" s="55">
        <f t="shared" si="1"/>
        <v>-1798.8530232780913</v>
      </c>
      <c r="O16" s="65">
        <f>'SC1 Admission Drop Scenario'!S16</f>
        <v>10</v>
      </c>
      <c r="P16" s="30">
        <f>'SC1 Admission Drop Scenario'!T16</f>
        <v>-1635.3209302528103</v>
      </c>
      <c r="Q16" s="30">
        <f>Table1[[#This Row],[New Total Net Margin]]-Table1[[#This Row],[Total net Margin]]</f>
        <v>163.53209302528103</v>
      </c>
      <c r="R16" s="66">
        <f>(Table1[[#This Row],[New Total Net Margin]]-Table1[[#This Row],[Total net Margin]])/Table1[[#This Row],[Total net Margin]]</f>
        <v>-9.0909090909090912E-2</v>
      </c>
      <c r="S16" s="64">
        <f>'SC2 Reduce LOS'!P16</f>
        <v>3.1</v>
      </c>
      <c r="T16" s="30">
        <f>'SC2 Reduce LOS'!Q16</f>
        <v>6629.52</v>
      </c>
      <c r="U16" s="30">
        <f>(Table1[[#This Row],[Cost/ Discharge]]-Table1[[#This Row],[New Cost/Discharge]])*Table1[[#This Row],[Discharge Volume]]</f>
        <v>7926.600000000004</v>
      </c>
      <c r="V16" s="108">
        <f>'SC2 Reduce LOS'!S16</f>
        <v>-9.803921568627455E-2</v>
      </c>
      <c r="W16" s="30">
        <f>'SC2 Reduce LOS'!T16</f>
        <v>557.06790697471934</v>
      </c>
      <c r="X16" s="55">
        <f>'SC2 Reduce LOS'!U16</f>
        <v>6127.7469767219127</v>
      </c>
    </row>
    <row r="17" spans="1:24" x14ac:dyDescent="0.2">
      <c r="A17" s="53" t="s">
        <v>211</v>
      </c>
      <c r="B17" s="35" t="s">
        <v>280</v>
      </c>
      <c r="C17" s="35" t="s">
        <v>281</v>
      </c>
      <c r="D17" s="29" t="s">
        <v>271</v>
      </c>
      <c r="E17" s="31" t="s">
        <v>285</v>
      </c>
      <c r="F17" s="33">
        <v>1.2070000000000001</v>
      </c>
      <c r="G17" s="34">
        <v>3.5</v>
      </c>
      <c r="H17" s="27">
        <f>F17*Input!$C$15</f>
        <v>7396.0571572019198</v>
      </c>
      <c r="I17" s="27">
        <f>F17*Input!$C$13</f>
        <v>583.89832000000001</v>
      </c>
      <c r="J17" s="27">
        <f t="shared" si="4"/>
        <v>7979.9554772019201</v>
      </c>
      <c r="K17" s="30">
        <f>(Input!$C$21*'Master Table'!G17)+Input!$C$20</f>
        <v>7206</v>
      </c>
      <c r="L17" s="27">
        <f t="shared" si="0"/>
        <v>773.95547720192008</v>
      </c>
      <c r="M17" s="29">
        <f>VLOOKUP(A17,'Good Samaritan Hospital'!$G:$I,3,FALSE)</f>
        <v>60</v>
      </c>
      <c r="N17" s="55">
        <f t="shared" si="1"/>
        <v>46437.328632115205</v>
      </c>
      <c r="O17" s="65">
        <f>'SC1 Admission Drop Scenario'!S17</f>
        <v>55</v>
      </c>
      <c r="P17" s="30">
        <f>'SC1 Admission Drop Scenario'!T17</f>
        <v>42567.551246105606</v>
      </c>
      <c r="Q17" s="30">
        <f>Table1[[#This Row],[New Total Net Margin]]-Table1[[#This Row],[Total net Margin]]</f>
        <v>-3869.7773860095986</v>
      </c>
      <c r="R17" s="66">
        <f>(Table1[[#This Row],[New Total Net Margin]]-Table1[[#This Row],[Total net Margin]])/Table1[[#This Row],[Total net Margin]]</f>
        <v>-8.3333333333333301E-2</v>
      </c>
      <c r="S17" s="64">
        <f>'SC2 Reduce LOS'!P17</f>
        <v>3</v>
      </c>
      <c r="T17" s="30">
        <f>'SC2 Reduce LOS'!Q17</f>
        <v>6485.4000000000005</v>
      </c>
      <c r="U17" s="30">
        <f>(Table1[[#This Row],[Cost/ Discharge]]-Table1[[#This Row],[New Cost/Discharge]])*Table1[[#This Row],[Discharge Volume]]</f>
        <v>43235.999999999971</v>
      </c>
      <c r="V17" s="108">
        <f>'SC2 Reduce LOS'!S17</f>
        <v>-9.9999999999999922E-2</v>
      </c>
      <c r="W17" s="30">
        <f>'SC2 Reduce LOS'!T17</f>
        <v>1494.5554772019195</v>
      </c>
      <c r="X17" s="55">
        <f>'SC2 Reduce LOS'!U17</f>
        <v>89673.328632115168</v>
      </c>
    </row>
    <row r="18" spans="1:24" x14ac:dyDescent="0.2">
      <c r="A18" s="53" t="s">
        <v>198</v>
      </c>
      <c r="B18" s="35" t="s">
        <v>280</v>
      </c>
      <c r="C18" s="35" t="s">
        <v>281</v>
      </c>
      <c r="D18" s="29" t="s">
        <v>271</v>
      </c>
      <c r="E18" s="31" t="s">
        <v>286</v>
      </c>
      <c r="F18" s="33">
        <v>1.2987</v>
      </c>
      <c r="G18" s="34">
        <v>4</v>
      </c>
      <c r="H18" s="27">
        <f>F18*Input!$C$15</f>
        <v>7957.9614167838708</v>
      </c>
      <c r="I18" s="27">
        <f>F18*Input!$C$13</f>
        <v>628.25911199999996</v>
      </c>
      <c r="J18" s="27">
        <f t="shared" si="4"/>
        <v>8586.2205287838715</v>
      </c>
      <c r="K18" s="30">
        <f>(Input!$C$21*'Master Table'!G18)+Input!$C$20</f>
        <v>7926.6</v>
      </c>
      <c r="L18" s="27">
        <f t="shared" si="0"/>
        <v>659.62052878387112</v>
      </c>
      <c r="M18" s="29">
        <f>VLOOKUP(A18,'Good Samaritan Hospital'!$G:$I,3,FALSE)</f>
        <v>39</v>
      </c>
      <c r="N18" s="55">
        <f t="shared" si="1"/>
        <v>25725.200622570974</v>
      </c>
      <c r="O18" s="65">
        <f>'SC1 Admission Drop Scenario'!S18</f>
        <v>36</v>
      </c>
      <c r="P18" s="30">
        <f>'SC1 Admission Drop Scenario'!T18</f>
        <v>23746.33903621936</v>
      </c>
      <c r="Q18" s="30">
        <f>Table1[[#This Row],[New Total Net Margin]]-Table1[[#This Row],[Total net Margin]]</f>
        <v>-1978.8615863516134</v>
      </c>
      <c r="R18" s="66">
        <f>(Table1[[#This Row],[New Total Net Margin]]-Table1[[#This Row],[Total net Margin]])/Table1[[#This Row],[Total net Margin]]</f>
        <v>-7.6923076923076927E-2</v>
      </c>
      <c r="S18" s="64">
        <f>'SC2 Reduce LOS'!P18</f>
        <v>3.5</v>
      </c>
      <c r="T18" s="30">
        <f>'SC2 Reduce LOS'!Q18</f>
        <v>7206</v>
      </c>
      <c r="U18" s="30">
        <f>(Table1[[#This Row],[Cost/ Discharge]]-Table1[[#This Row],[New Cost/Discharge]])*Table1[[#This Row],[Discharge Volume]]</f>
        <v>28103.400000000016</v>
      </c>
      <c r="V18" s="108">
        <f>'SC2 Reduce LOS'!S18</f>
        <v>-9.0909090909090953E-2</v>
      </c>
      <c r="W18" s="30">
        <f>'SC2 Reduce LOS'!T18</f>
        <v>1380.2205287838715</v>
      </c>
      <c r="X18" s="55">
        <f>'SC2 Reduce LOS'!U18</f>
        <v>53828.600622570986</v>
      </c>
    </row>
    <row r="19" spans="1:24" x14ac:dyDescent="0.2">
      <c r="A19" s="53" t="s">
        <v>188</v>
      </c>
      <c r="B19" s="35" t="s">
        <v>280</v>
      </c>
      <c r="C19" s="35" t="s">
        <v>281</v>
      </c>
      <c r="D19" s="29" t="s">
        <v>271</v>
      </c>
      <c r="E19" s="31" t="s">
        <v>287</v>
      </c>
      <c r="F19" s="33">
        <v>2.6000999999999999</v>
      </c>
      <c r="G19" s="34">
        <v>5</v>
      </c>
      <c r="H19" s="27">
        <f>F19*Input!$C$15</f>
        <v>15932.467451897854</v>
      </c>
      <c r="I19" s="27">
        <f>F19*Input!$C$13</f>
        <v>1257.8243759999998</v>
      </c>
      <c r="J19" s="27">
        <f t="shared" si="4"/>
        <v>17190.291827897854</v>
      </c>
      <c r="K19" s="30">
        <f>(Input!$C$21*'Master Table'!G19)+Input!$C$20</f>
        <v>9367.7999999999993</v>
      </c>
      <c r="L19" s="27">
        <f t="shared" si="0"/>
        <v>7822.4918278978548</v>
      </c>
      <c r="M19" s="29">
        <f>VLOOKUP(A19,'Good Samaritan Hospital'!$G:$I,3,FALSE)</f>
        <v>17</v>
      </c>
      <c r="N19" s="55">
        <f t="shared" si="1"/>
        <v>132982.36107426352</v>
      </c>
      <c r="O19" s="65">
        <f>'SC1 Admission Drop Scenario'!S19</f>
        <v>16</v>
      </c>
      <c r="P19" s="30">
        <f>'SC1 Admission Drop Scenario'!T19</f>
        <v>125159.86924636568</v>
      </c>
      <c r="Q19" s="30">
        <f>Table1[[#This Row],[New Total Net Margin]]-Table1[[#This Row],[Total net Margin]]</f>
        <v>-7822.4918278978439</v>
      </c>
      <c r="R19" s="66">
        <f>(Table1[[#This Row],[New Total Net Margin]]-Table1[[#This Row],[Total net Margin]])/Table1[[#This Row],[Total net Margin]]</f>
        <v>-5.8823529411764629E-2</v>
      </c>
      <c r="S19" s="64">
        <f>'SC2 Reduce LOS'!P19</f>
        <v>4.5</v>
      </c>
      <c r="T19" s="30">
        <f>'SC2 Reduce LOS'!Q19</f>
        <v>8647.2000000000007</v>
      </c>
      <c r="U19" s="30">
        <f>(Table1[[#This Row],[Cost/ Discharge]]-Table1[[#This Row],[New Cost/Discharge]])*Table1[[#This Row],[Discharge Volume]]</f>
        <v>12250.199999999975</v>
      </c>
      <c r="V19" s="108">
        <f>'SC2 Reduce LOS'!S19</f>
        <v>-7.6923076923076775E-2</v>
      </c>
      <c r="W19" s="30">
        <f>'SC2 Reduce LOS'!T19</f>
        <v>8543.0918278978534</v>
      </c>
      <c r="X19" s="55">
        <f>'SC2 Reduce LOS'!U19</f>
        <v>145232.5610742635</v>
      </c>
    </row>
    <row r="20" spans="1:24" x14ac:dyDescent="0.2">
      <c r="A20" s="53" t="s">
        <v>205</v>
      </c>
      <c r="B20" s="35" t="s">
        <v>288</v>
      </c>
      <c r="C20" s="35" t="s">
        <v>289</v>
      </c>
      <c r="D20" s="29" t="s">
        <v>266</v>
      </c>
      <c r="E20" s="31" t="s">
        <v>290</v>
      </c>
      <c r="F20" s="33">
        <v>2.9954000000000001</v>
      </c>
      <c r="G20" s="34">
        <v>3.8</v>
      </c>
      <c r="H20" s="27">
        <f>F20*Input!$C$15</f>
        <v>18354.722128154623</v>
      </c>
      <c r="I20" s="27">
        <f>F20*Input!$C$13</f>
        <v>1449.0547039999999</v>
      </c>
      <c r="J20" s="27">
        <f t="shared" ref="J20:J30" si="5">H20+I20</f>
        <v>19803.776832154621</v>
      </c>
      <c r="K20" s="30">
        <f>(Input!$C$21*'Master Table'!G20)+Input!$C$20</f>
        <v>7638.36</v>
      </c>
      <c r="L20" s="27">
        <f t="shared" si="0"/>
        <v>12165.41683215462</v>
      </c>
      <c r="M20" s="29">
        <f>VLOOKUP(A20,'Good Samaritan Hospital'!$G:$I,3,FALSE)</f>
        <v>15</v>
      </c>
      <c r="N20" s="55">
        <f t="shared" si="1"/>
        <v>182481.25248231931</v>
      </c>
      <c r="O20" s="65">
        <f>'SC1 Admission Drop Scenario'!S20</f>
        <v>14</v>
      </c>
      <c r="P20" s="30">
        <f>'SC1 Admission Drop Scenario'!T20</f>
        <v>170315.83565016469</v>
      </c>
      <c r="Q20" s="30">
        <f>Table1[[#This Row],[New Total Net Margin]]-Table1[[#This Row],[Total net Margin]]</f>
        <v>-12165.416832154617</v>
      </c>
      <c r="R20" s="66">
        <f>(Table1[[#This Row],[New Total Net Margin]]-Table1[[#This Row],[Total net Margin]])/Table1[[#This Row],[Total net Margin]]</f>
        <v>-6.6666666666666652E-2</v>
      </c>
      <c r="S20" s="64">
        <f>'SC2 Reduce LOS'!P20</f>
        <v>3.3</v>
      </c>
      <c r="T20" s="30">
        <f>'SC2 Reduce LOS'!Q20</f>
        <v>6917.76</v>
      </c>
      <c r="U20" s="30">
        <f>(Table1[[#This Row],[Cost/ Discharge]]-Table1[[#This Row],[New Cost/Discharge]])*Table1[[#This Row],[Discharge Volume]]</f>
        <v>10808.999999999993</v>
      </c>
      <c r="V20" s="108">
        <f>'SC2 Reduce LOS'!S20</f>
        <v>-9.4339622641509371E-2</v>
      </c>
      <c r="W20" s="30">
        <f>'SC2 Reduce LOS'!T20</f>
        <v>12886.016832154621</v>
      </c>
      <c r="X20" s="55">
        <f>'SC2 Reduce LOS'!U20</f>
        <v>193290.25248231931</v>
      </c>
    </row>
    <row r="21" spans="1:24" x14ac:dyDescent="0.2">
      <c r="A21" s="53" t="s">
        <v>236</v>
      </c>
      <c r="B21" s="35" t="s">
        <v>288</v>
      </c>
      <c r="C21" s="35" t="s">
        <v>289</v>
      </c>
      <c r="D21" s="29" t="s">
        <v>266</v>
      </c>
      <c r="E21" s="31" t="s">
        <v>291</v>
      </c>
      <c r="F21" s="33">
        <v>1.9095</v>
      </c>
      <c r="G21" s="34">
        <v>2</v>
      </c>
      <c r="H21" s="27">
        <f>F21*Input!$C$15</f>
        <v>11700.721741240319</v>
      </c>
      <c r="I21" s="27">
        <f>F21*Input!$C$13</f>
        <v>923.73971999999992</v>
      </c>
      <c r="J21" s="27">
        <f t="shared" si="5"/>
        <v>12624.461461240318</v>
      </c>
      <c r="K21" s="30">
        <f>(Input!$C$21*'Master Table'!G21)+Input!$C$20</f>
        <v>5044.2000000000007</v>
      </c>
      <c r="L21" s="27">
        <f t="shared" si="0"/>
        <v>7580.2614612403177</v>
      </c>
      <c r="M21" s="29">
        <f>VLOOKUP(A21,'Good Samaritan Hospital'!$G:$I,3,FALSE)</f>
        <v>15</v>
      </c>
      <c r="N21" s="55">
        <f t="shared" si="1"/>
        <v>113703.92191860477</v>
      </c>
      <c r="O21" s="65">
        <f>'SC1 Admission Drop Scenario'!S21</f>
        <v>14</v>
      </c>
      <c r="P21" s="30">
        <f>'SC1 Admission Drop Scenario'!T21</f>
        <v>106123.66045736444</v>
      </c>
      <c r="Q21" s="30">
        <f>Table1[[#This Row],[New Total Net Margin]]-Table1[[#This Row],[Total net Margin]]</f>
        <v>-7580.2614612403268</v>
      </c>
      <c r="R21" s="66">
        <f>(Table1[[#This Row],[New Total Net Margin]]-Table1[[#This Row],[Total net Margin]])/Table1[[#This Row],[Total net Margin]]</f>
        <v>-6.6666666666666749E-2</v>
      </c>
      <c r="S21" s="64">
        <f>'SC2 Reduce LOS'!P21</f>
        <v>1.5</v>
      </c>
      <c r="T21" s="30">
        <f>'SC2 Reduce LOS'!Q21</f>
        <v>4323.6000000000004</v>
      </c>
      <c r="U21" s="30">
        <f>(Table1[[#This Row],[Cost/ Discharge]]-Table1[[#This Row],[New Cost/Discharge]])*Table1[[#This Row],[Discharge Volume]]</f>
        <v>10809.000000000005</v>
      </c>
      <c r="V21" s="108">
        <f>'SC2 Reduce LOS'!S21</f>
        <v>-0.1428571428571429</v>
      </c>
      <c r="W21" s="30">
        <f>'SC2 Reduce LOS'!T21</f>
        <v>8300.861461240318</v>
      </c>
      <c r="X21" s="55">
        <f>'SC2 Reduce LOS'!U21</f>
        <v>124512.92191860477</v>
      </c>
    </row>
    <row r="22" spans="1:24" x14ac:dyDescent="0.2">
      <c r="A22" s="53" t="s">
        <v>240</v>
      </c>
      <c r="B22" s="35" t="s">
        <v>288</v>
      </c>
      <c r="C22" s="35" t="s">
        <v>289</v>
      </c>
      <c r="D22" s="29" t="s">
        <v>266</v>
      </c>
      <c r="E22" s="31" t="s">
        <v>292</v>
      </c>
      <c r="F22" s="33">
        <v>4.2763</v>
      </c>
      <c r="G22" s="34">
        <v>1.5</v>
      </c>
      <c r="H22" s="27">
        <f>F22*Input!$C$15</f>
        <v>26203.611616688126</v>
      </c>
      <c r="I22" s="27">
        <f>F22*Input!$C$13</f>
        <v>2068.7028879999998</v>
      </c>
      <c r="J22" s="27">
        <f t="shared" si="5"/>
        <v>28272.314504688125</v>
      </c>
      <c r="K22" s="30">
        <f>(Input!$C$21*'Master Table'!G22)+Input!$C$20</f>
        <v>4323.6000000000004</v>
      </c>
      <c r="L22" s="27">
        <f t="shared" si="0"/>
        <v>23948.714504688127</v>
      </c>
      <c r="M22" s="29">
        <f>VLOOKUP(A22,'Good Samaritan Hospital'!$G:$I,3,FALSE)</f>
        <v>12</v>
      </c>
      <c r="N22" s="55">
        <f t="shared" si="1"/>
        <v>287384.57405625749</v>
      </c>
      <c r="O22" s="65">
        <f>'SC1 Admission Drop Scenario'!S22</f>
        <v>11</v>
      </c>
      <c r="P22" s="30">
        <f>'SC1 Admission Drop Scenario'!T22</f>
        <v>263435.85955156939</v>
      </c>
      <c r="Q22" s="30">
        <f>Table1[[#This Row],[New Total Net Margin]]-Table1[[#This Row],[Total net Margin]]</f>
        <v>-23948.714504688105</v>
      </c>
      <c r="R22" s="66">
        <f>(Table1[[#This Row],[New Total Net Margin]]-Table1[[#This Row],[Total net Margin]])/Table1[[#This Row],[Total net Margin]]</f>
        <v>-8.3333333333333259E-2</v>
      </c>
      <c r="S22" s="64">
        <f>'SC2 Reduce LOS'!P22</f>
        <v>1</v>
      </c>
      <c r="T22" s="30">
        <f>'SC2 Reduce LOS'!Q22</f>
        <v>3603</v>
      </c>
      <c r="U22" s="30">
        <f>(Table1[[#This Row],[Cost/ Discharge]]-Table1[[#This Row],[New Cost/Discharge]])*Table1[[#This Row],[Discharge Volume]]</f>
        <v>8647.2000000000044</v>
      </c>
      <c r="V22" s="108">
        <f>'SC2 Reduce LOS'!S22</f>
        <v>-0.16666666666666674</v>
      </c>
      <c r="W22" s="30">
        <f>'SC2 Reduce LOS'!T22</f>
        <v>24669.314504688125</v>
      </c>
      <c r="X22" s="55">
        <f>'SC2 Reduce LOS'!U22</f>
        <v>296031.77405625751</v>
      </c>
    </row>
    <row r="23" spans="1:24" x14ac:dyDescent="0.2">
      <c r="A23" s="53" t="s">
        <v>197</v>
      </c>
      <c r="B23" s="35" t="s">
        <v>288</v>
      </c>
      <c r="C23" s="35" t="s">
        <v>289</v>
      </c>
      <c r="D23" s="29" t="s">
        <v>271</v>
      </c>
      <c r="E23" s="31" t="s">
        <v>293</v>
      </c>
      <c r="F23" s="33">
        <v>1.6064000000000001</v>
      </c>
      <c r="G23" s="34">
        <v>4.0999999999999996</v>
      </c>
      <c r="H23" s="27">
        <f>F23*Input!$C$15</f>
        <v>9843.4351427747843</v>
      </c>
      <c r="I23" s="27">
        <f>F23*Input!$C$13</f>
        <v>777.11206400000003</v>
      </c>
      <c r="J23" s="27">
        <f t="shared" si="5"/>
        <v>10620.547206774785</v>
      </c>
      <c r="K23" s="30">
        <f>(Input!$C$21*'Master Table'!G23)+Input!$C$20</f>
        <v>8070.72</v>
      </c>
      <c r="L23" s="27">
        <f t="shared" si="0"/>
        <v>2549.8272067747848</v>
      </c>
      <c r="M23" s="29">
        <f>VLOOKUP(A23,'Good Samaritan Hospital'!$G:$I,3,FALSE)</f>
        <v>46</v>
      </c>
      <c r="N23" s="55">
        <f t="shared" si="1"/>
        <v>117292.05151164011</v>
      </c>
      <c r="O23" s="65">
        <f>'SC1 Admission Drop Scenario'!S23</f>
        <v>42</v>
      </c>
      <c r="P23" s="30">
        <f>'SC1 Admission Drop Scenario'!T23</f>
        <v>107092.74268454096</v>
      </c>
      <c r="Q23" s="30">
        <f>Table1[[#This Row],[New Total Net Margin]]-Table1[[#This Row],[Total net Margin]]</f>
        <v>-10199.308827099143</v>
      </c>
      <c r="R23" s="66">
        <f>(Table1[[#This Row],[New Total Net Margin]]-Table1[[#This Row],[Total net Margin]])/Table1[[#This Row],[Total net Margin]]</f>
        <v>-8.695652173913046E-2</v>
      </c>
      <c r="S23" s="64">
        <f>'SC2 Reduce LOS'!P23</f>
        <v>3.5999999999999996</v>
      </c>
      <c r="T23" s="30">
        <f>'SC2 Reduce LOS'!Q23</f>
        <v>7350.12</v>
      </c>
      <c r="U23" s="30">
        <f>(Table1[[#This Row],[Cost/ Discharge]]-Table1[[#This Row],[New Cost/Discharge]])*Table1[[#This Row],[Discharge Volume]]</f>
        <v>33147.60000000002</v>
      </c>
      <c r="V23" s="108">
        <f>'SC2 Reduce LOS'!S23</f>
        <v>-8.9285714285714329E-2</v>
      </c>
      <c r="W23" s="30">
        <f>'SC2 Reduce LOS'!T23</f>
        <v>3270.4272067747852</v>
      </c>
      <c r="X23" s="55">
        <f>'SC2 Reduce LOS'!U23</f>
        <v>150439.65151164011</v>
      </c>
    </row>
    <row r="24" spans="1:24" x14ac:dyDescent="0.2">
      <c r="A24" s="53" t="s">
        <v>231</v>
      </c>
      <c r="B24" s="35" t="s">
        <v>288</v>
      </c>
      <c r="C24" s="35" t="s">
        <v>289</v>
      </c>
      <c r="D24" s="29" t="s">
        <v>271</v>
      </c>
      <c r="E24" s="31" t="s">
        <v>294</v>
      </c>
      <c r="F24" s="33">
        <v>0.91859999999999997</v>
      </c>
      <c r="G24" s="34">
        <v>2.4</v>
      </c>
      <c r="H24" s="27">
        <f>F24*Input!$C$15</f>
        <v>5628.8468140892155</v>
      </c>
      <c r="I24" s="27">
        <f>F24*Input!$C$13</f>
        <v>444.381936</v>
      </c>
      <c r="J24" s="27">
        <f t="shared" si="5"/>
        <v>6073.2287500892153</v>
      </c>
      <c r="K24" s="30">
        <f>(Input!$C$21*'Master Table'!G24)+Input!$C$20</f>
        <v>5620.68</v>
      </c>
      <c r="L24" s="27">
        <f t="shared" si="0"/>
        <v>452.54875008921499</v>
      </c>
      <c r="M24" s="29">
        <f>VLOOKUP(A24,'Good Samaritan Hospital'!$G:$I,3,FALSE)</f>
        <v>13</v>
      </c>
      <c r="N24" s="55">
        <f t="shared" si="1"/>
        <v>5883.1337511597949</v>
      </c>
      <c r="O24" s="65">
        <f>'SC1 Admission Drop Scenario'!S24</f>
        <v>12</v>
      </c>
      <c r="P24" s="30">
        <f>'SC1 Admission Drop Scenario'!T24</f>
        <v>5430.5850010705799</v>
      </c>
      <c r="Q24" s="30">
        <f>Table1[[#This Row],[New Total Net Margin]]-Table1[[#This Row],[Total net Margin]]</f>
        <v>-452.54875008921499</v>
      </c>
      <c r="R24" s="66">
        <f>(Table1[[#This Row],[New Total Net Margin]]-Table1[[#This Row],[Total net Margin]])/Table1[[#This Row],[Total net Margin]]</f>
        <v>-7.6923076923076927E-2</v>
      </c>
      <c r="S24" s="64">
        <f>'SC2 Reduce LOS'!P24</f>
        <v>1.9</v>
      </c>
      <c r="T24" s="30">
        <f>'SC2 Reduce LOS'!Q24</f>
        <v>4900.08</v>
      </c>
      <c r="U24" s="30">
        <f>(Table1[[#This Row],[Cost/ Discharge]]-Table1[[#This Row],[New Cost/Discharge]])*Table1[[#This Row],[Discharge Volume]]</f>
        <v>9367.8000000000047</v>
      </c>
      <c r="V24" s="108">
        <f>'SC2 Reduce LOS'!S24</f>
        <v>-0.12820512820512828</v>
      </c>
      <c r="W24" s="30">
        <f>'SC2 Reduce LOS'!T24</f>
        <v>1173.1487500892154</v>
      </c>
      <c r="X24" s="55">
        <f>'SC2 Reduce LOS'!U24</f>
        <v>15250.933751159799</v>
      </c>
    </row>
    <row r="25" spans="1:24" x14ac:dyDescent="0.2">
      <c r="A25" s="53" t="s">
        <v>186</v>
      </c>
      <c r="B25" s="35" t="s">
        <v>288</v>
      </c>
      <c r="C25" s="35" t="s">
        <v>289</v>
      </c>
      <c r="D25" s="29" t="s">
        <v>271</v>
      </c>
      <c r="E25" s="31" t="s">
        <v>295</v>
      </c>
      <c r="F25" s="33">
        <v>2.121</v>
      </c>
      <c r="G25" s="34">
        <v>5.2</v>
      </c>
      <c r="H25" s="27">
        <f>F25*Input!$C$15</f>
        <v>12996.716843765758</v>
      </c>
      <c r="I25" s="27">
        <f>F25*Input!$C$13</f>
        <v>1026.0549599999999</v>
      </c>
      <c r="J25" s="27">
        <f t="shared" si="5"/>
        <v>14022.771803765758</v>
      </c>
      <c r="K25" s="30">
        <f>(Input!$C$21*'Master Table'!G25)+Input!$C$20</f>
        <v>9656.0400000000009</v>
      </c>
      <c r="L25" s="27">
        <f t="shared" si="0"/>
        <v>4366.7318037657569</v>
      </c>
      <c r="M25" s="29">
        <f>VLOOKUP(A25,'Good Samaritan Hospital'!$G:$I,3,FALSE)</f>
        <v>13</v>
      </c>
      <c r="N25" s="55">
        <f t="shared" si="1"/>
        <v>56767.513448954836</v>
      </c>
      <c r="O25" s="65">
        <f>'SC1 Admission Drop Scenario'!S25</f>
        <v>12</v>
      </c>
      <c r="P25" s="30">
        <f>'SC1 Admission Drop Scenario'!T25</f>
        <v>52400.781645189083</v>
      </c>
      <c r="Q25" s="30">
        <f>Table1[[#This Row],[New Total Net Margin]]-Table1[[#This Row],[Total net Margin]]</f>
        <v>-4366.7318037657533</v>
      </c>
      <c r="R25" s="66">
        <f>(Table1[[#This Row],[New Total Net Margin]]-Table1[[#This Row],[Total net Margin]])/Table1[[#This Row],[Total net Margin]]</f>
        <v>-7.6923076923076858E-2</v>
      </c>
      <c r="S25" s="64">
        <f>'SC2 Reduce LOS'!P25</f>
        <v>4.7</v>
      </c>
      <c r="T25" s="30">
        <f>'SC2 Reduce LOS'!Q25</f>
        <v>8935.44</v>
      </c>
      <c r="U25" s="30">
        <f>(Table1[[#This Row],[Cost/ Discharge]]-Table1[[#This Row],[New Cost/Discharge]])*Table1[[#This Row],[Discharge Volume]]</f>
        <v>9367.8000000000047</v>
      </c>
      <c r="V25" s="108">
        <f>'SC2 Reduce LOS'!S25</f>
        <v>-7.4626865671641826E-2</v>
      </c>
      <c r="W25" s="30">
        <f>'SC2 Reduce LOS'!T25</f>
        <v>5087.3318037657573</v>
      </c>
      <c r="X25" s="55">
        <f>'SC2 Reduce LOS'!U25</f>
        <v>66135.313448954839</v>
      </c>
    </row>
    <row r="26" spans="1:24" x14ac:dyDescent="0.2">
      <c r="A26" s="53" t="s">
        <v>235</v>
      </c>
      <c r="B26" s="35" t="s">
        <v>288</v>
      </c>
      <c r="C26" s="35" t="s">
        <v>289</v>
      </c>
      <c r="D26" s="29" t="s">
        <v>271</v>
      </c>
      <c r="E26" s="31" t="s">
        <v>296</v>
      </c>
      <c r="F26" s="33">
        <v>1.1002000000000001</v>
      </c>
      <c r="G26" s="34">
        <v>2.1</v>
      </c>
      <c r="H26" s="27">
        <f>F26*Input!$C$15</f>
        <v>6741.625587699712</v>
      </c>
      <c r="I26" s="27">
        <f>F26*Input!$C$13</f>
        <v>532.232752</v>
      </c>
      <c r="J26" s="27">
        <f t="shared" si="5"/>
        <v>7273.8583396997119</v>
      </c>
      <c r="K26" s="30">
        <f>(Input!$C$21*'Master Table'!G26)+Input!$C$20</f>
        <v>5188.3200000000006</v>
      </c>
      <c r="L26" s="27">
        <f t="shared" si="0"/>
        <v>2085.5383396997113</v>
      </c>
      <c r="M26" s="29">
        <f>VLOOKUP(A26,'Good Samaritan Hospital'!$G:$I,3,FALSE)</f>
        <v>19</v>
      </c>
      <c r="N26" s="55">
        <f t="shared" si="1"/>
        <v>39625.228454294513</v>
      </c>
      <c r="O26" s="65">
        <f>'SC1 Admission Drop Scenario'!S26</f>
        <v>17</v>
      </c>
      <c r="P26" s="30">
        <f>'SC1 Admission Drop Scenario'!T26</f>
        <v>35454.151774895094</v>
      </c>
      <c r="Q26" s="30">
        <f>Table1[[#This Row],[New Total Net Margin]]-Table1[[#This Row],[Total net Margin]]</f>
        <v>-4171.0766793994189</v>
      </c>
      <c r="R26" s="66">
        <f>(Table1[[#This Row],[New Total Net Margin]]-Table1[[#This Row],[Total net Margin]])/Table1[[#This Row],[Total net Margin]]</f>
        <v>-0.10526315789473675</v>
      </c>
      <c r="S26" s="64">
        <f>'SC2 Reduce LOS'!P26</f>
        <v>1.6</v>
      </c>
      <c r="T26" s="30">
        <f>'SC2 Reduce LOS'!Q26</f>
        <v>4467.72</v>
      </c>
      <c r="U26" s="30">
        <f>(Table1[[#This Row],[Cost/ Discharge]]-Table1[[#This Row],[New Cost/Discharge]])*Table1[[#This Row],[Discharge Volume]]</f>
        <v>13691.400000000007</v>
      </c>
      <c r="V26" s="108">
        <f>'SC2 Reduce LOS'!S26</f>
        <v>-0.13888888888888895</v>
      </c>
      <c r="W26" s="30">
        <f>'SC2 Reduce LOS'!T26</f>
        <v>2806.1383396997117</v>
      </c>
      <c r="X26" s="55">
        <f>'SC2 Reduce LOS'!U26</f>
        <v>53316.628454294521</v>
      </c>
    </row>
    <row r="27" spans="1:24" x14ac:dyDescent="0.2">
      <c r="A27" s="53" t="s">
        <v>201</v>
      </c>
      <c r="B27" s="35" t="s">
        <v>288</v>
      </c>
      <c r="C27" s="35" t="s">
        <v>289</v>
      </c>
      <c r="D27" s="29" t="s">
        <v>271</v>
      </c>
      <c r="E27" s="31" t="s">
        <v>297</v>
      </c>
      <c r="F27" s="33">
        <v>1.2798</v>
      </c>
      <c r="G27" s="34">
        <v>3.9</v>
      </c>
      <c r="H27" s="27">
        <f>F27*Input!$C$15</f>
        <v>7842.1490884730874</v>
      </c>
      <c r="I27" s="27">
        <f>F27*Input!$C$13</f>
        <v>619.11604799999998</v>
      </c>
      <c r="J27" s="27">
        <f t="shared" si="5"/>
        <v>8461.2651364730882</v>
      </c>
      <c r="K27" s="30">
        <f>(Input!$C$21*'Master Table'!G27)+Input!$C$20</f>
        <v>7782.4800000000005</v>
      </c>
      <c r="L27" s="27">
        <f t="shared" si="0"/>
        <v>678.78513647308773</v>
      </c>
      <c r="M27" s="29">
        <f>VLOOKUP(A27,'Good Samaritan Hospital'!$G:$I,3,FALSE)</f>
        <v>120</v>
      </c>
      <c r="N27" s="55">
        <f t="shared" si="1"/>
        <v>81454.216376770521</v>
      </c>
      <c r="O27" s="65">
        <f>'SC1 Admission Drop Scenario'!S27</f>
        <v>110</v>
      </c>
      <c r="P27" s="30">
        <f>'SC1 Admission Drop Scenario'!T27</f>
        <v>74666.365012039649</v>
      </c>
      <c r="Q27" s="30">
        <f>Table1[[#This Row],[New Total Net Margin]]-Table1[[#This Row],[Total net Margin]]</f>
        <v>-6787.8513647308719</v>
      </c>
      <c r="R27" s="66">
        <f>(Table1[[#This Row],[New Total Net Margin]]-Table1[[#This Row],[Total net Margin]])/Table1[[#This Row],[Total net Margin]]</f>
        <v>-8.3333333333333273E-2</v>
      </c>
      <c r="S27" s="64">
        <f>'SC2 Reduce LOS'!P27</f>
        <v>3.4</v>
      </c>
      <c r="T27" s="30">
        <f>'SC2 Reduce LOS'!Q27</f>
        <v>7061.88</v>
      </c>
      <c r="U27" s="30">
        <f>(Table1[[#This Row],[Cost/ Discharge]]-Table1[[#This Row],[New Cost/Discharge]])*Table1[[#This Row],[Discharge Volume]]</f>
        <v>86472.000000000044</v>
      </c>
      <c r="V27" s="108">
        <f>'SC2 Reduce LOS'!S27</f>
        <v>-9.2592592592592629E-2</v>
      </c>
      <c r="W27" s="30">
        <f>'SC2 Reduce LOS'!T27</f>
        <v>1399.3851364730881</v>
      </c>
      <c r="X27" s="55">
        <f>'SC2 Reduce LOS'!U27</f>
        <v>167926.21637677058</v>
      </c>
    </row>
    <row r="28" spans="1:24" x14ac:dyDescent="0.2">
      <c r="A28" s="53" t="s">
        <v>212</v>
      </c>
      <c r="B28" s="35" t="s">
        <v>288</v>
      </c>
      <c r="C28" s="35" t="s">
        <v>289</v>
      </c>
      <c r="D28" s="29" t="s">
        <v>271</v>
      </c>
      <c r="E28" s="31" t="s">
        <v>298</v>
      </c>
      <c r="F28" s="33">
        <v>1.1726000000000001</v>
      </c>
      <c r="G28" s="34">
        <v>3.4</v>
      </c>
      <c r="H28" s="27">
        <f>F28*Input!$C$15</f>
        <v>7185.2664644034558</v>
      </c>
      <c r="I28" s="27">
        <f>F28*Input!$C$13</f>
        <v>567.25697600000001</v>
      </c>
      <c r="J28" s="27">
        <f t="shared" si="5"/>
        <v>7752.5234404034554</v>
      </c>
      <c r="K28" s="30">
        <f>(Input!$C$21*'Master Table'!G28)+Input!$C$20</f>
        <v>7061.88</v>
      </c>
      <c r="L28" s="27">
        <f t="shared" si="0"/>
        <v>690.64344040345532</v>
      </c>
      <c r="M28" s="29">
        <f>VLOOKUP(A28,'Good Samaritan Hospital'!$G:$I,3,FALSE)</f>
        <v>17</v>
      </c>
      <c r="N28" s="55">
        <f t="shared" si="1"/>
        <v>11740.93848685874</v>
      </c>
      <c r="O28" s="65">
        <f>'SC1 Admission Drop Scenario'!S28</f>
        <v>16</v>
      </c>
      <c r="P28" s="30">
        <f>'SC1 Admission Drop Scenario'!T28</f>
        <v>11050.295046455285</v>
      </c>
      <c r="Q28" s="30">
        <f>Table1[[#This Row],[New Total Net Margin]]-Table1[[#This Row],[Total net Margin]]</f>
        <v>-690.64344040345532</v>
      </c>
      <c r="R28" s="66">
        <f>(Table1[[#This Row],[New Total Net Margin]]-Table1[[#This Row],[Total net Margin]])/Table1[[#This Row],[Total net Margin]]</f>
        <v>-5.8823529411764705E-2</v>
      </c>
      <c r="S28" s="64">
        <f>'SC2 Reduce LOS'!P28</f>
        <v>2.9</v>
      </c>
      <c r="T28" s="30">
        <f>'SC2 Reduce LOS'!Q28</f>
        <v>6341.28</v>
      </c>
      <c r="U28" s="30">
        <f>(Table1[[#This Row],[Cost/ Discharge]]-Table1[[#This Row],[New Cost/Discharge]])*Table1[[#This Row],[Discharge Volume]]</f>
        <v>12250.200000000006</v>
      </c>
      <c r="V28" s="108">
        <f>'SC2 Reduce LOS'!S28</f>
        <v>-0.10204081632653066</v>
      </c>
      <c r="W28" s="30">
        <f>'SC2 Reduce LOS'!T28</f>
        <v>1411.2434404034557</v>
      </c>
      <c r="X28" s="55">
        <f>'SC2 Reduce LOS'!U28</f>
        <v>23991.138486858748</v>
      </c>
    </row>
    <row r="29" spans="1:24" x14ac:dyDescent="0.2">
      <c r="A29" s="53" t="s">
        <v>232</v>
      </c>
      <c r="B29" s="35" t="s">
        <v>288</v>
      </c>
      <c r="C29" s="35" t="s">
        <v>289</v>
      </c>
      <c r="D29" s="29" t="s">
        <v>271</v>
      </c>
      <c r="E29" s="31" t="s">
        <v>299</v>
      </c>
      <c r="F29" s="33">
        <v>0.73760000000000003</v>
      </c>
      <c r="G29" s="34">
        <v>2.2999999999999998</v>
      </c>
      <c r="H29" s="27">
        <f>F29*Input!$C$15</f>
        <v>4519.7446223298557</v>
      </c>
      <c r="I29" s="27">
        <f>F29*Input!$C$13</f>
        <v>356.82137599999999</v>
      </c>
      <c r="J29" s="27">
        <f t="shared" si="5"/>
        <v>4876.5659983298556</v>
      </c>
      <c r="K29" s="30">
        <f>(Input!$C$21*'Master Table'!G29)+Input!$C$20</f>
        <v>5476.5599999999995</v>
      </c>
      <c r="L29" s="27">
        <f t="shared" si="0"/>
        <v>-599.99400167014392</v>
      </c>
      <c r="M29" s="29">
        <f>VLOOKUP(A29,'Good Samaritan Hospital'!$G:$I,3,FALSE)</f>
        <v>27</v>
      </c>
      <c r="N29" s="55">
        <f t="shared" si="1"/>
        <v>-16199.838045093886</v>
      </c>
      <c r="O29" s="65">
        <f>'SC1 Admission Drop Scenario'!S29</f>
        <v>25</v>
      </c>
      <c r="P29" s="30">
        <f>'SC1 Admission Drop Scenario'!T29</f>
        <v>-14999.850041753598</v>
      </c>
      <c r="Q29" s="30">
        <f>Table1[[#This Row],[New Total Net Margin]]-Table1[[#This Row],[Total net Margin]]</f>
        <v>1199.9880033402878</v>
      </c>
      <c r="R29" s="66">
        <f>(Table1[[#This Row],[New Total Net Margin]]-Table1[[#This Row],[Total net Margin]])/Table1[[#This Row],[Total net Margin]]</f>
        <v>-7.407407407407407E-2</v>
      </c>
      <c r="S29" s="64">
        <f>'SC2 Reduce LOS'!P29</f>
        <v>1.7999999999999998</v>
      </c>
      <c r="T29" s="30">
        <f>'SC2 Reduce LOS'!Q29</f>
        <v>4755.96</v>
      </c>
      <c r="U29" s="30">
        <f>(Table1[[#This Row],[Cost/ Discharge]]-Table1[[#This Row],[New Cost/Discharge]])*Table1[[#This Row],[Discharge Volume]]</f>
        <v>19456.199999999986</v>
      </c>
      <c r="V29" s="108">
        <f>'SC2 Reduce LOS'!S29</f>
        <v>-0.13157894736842096</v>
      </c>
      <c r="W29" s="30">
        <f>'SC2 Reduce LOS'!T29</f>
        <v>120.60599832985554</v>
      </c>
      <c r="X29" s="55">
        <f>'SC2 Reduce LOS'!U29</f>
        <v>3256.3619549060995</v>
      </c>
    </row>
    <row r="30" spans="1:24" x14ac:dyDescent="0.2">
      <c r="A30" s="53" t="s">
        <v>234</v>
      </c>
      <c r="B30" s="35" t="s">
        <v>288</v>
      </c>
      <c r="C30" s="35" t="s">
        <v>289</v>
      </c>
      <c r="D30" s="29" t="s">
        <v>271</v>
      </c>
      <c r="E30" s="31" t="s">
        <v>300</v>
      </c>
      <c r="F30" s="33">
        <v>0.85270000000000001</v>
      </c>
      <c r="G30" s="34">
        <v>2.2999999999999998</v>
      </c>
      <c r="H30" s="27">
        <f>F30*Input!$C$15</f>
        <v>5225.0355741061121</v>
      </c>
      <c r="I30" s="27">
        <f>F30*Input!$C$13</f>
        <v>412.50215200000002</v>
      </c>
      <c r="J30" s="27">
        <f t="shared" si="5"/>
        <v>5637.5377261061121</v>
      </c>
      <c r="K30" s="30">
        <f>(Input!$C$21*'Master Table'!G30)+Input!$C$20</f>
        <v>5476.5599999999995</v>
      </c>
      <c r="L30" s="27">
        <f t="shared" si="0"/>
        <v>160.97772610611264</v>
      </c>
      <c r="M30" s="29">
        <f>VLOOKUP(A30,'Good Samaritan Hospital'!$G:$I,3,FALSE)</f>
        <v>29</v>
      </c>
      <c r="N30" s="55">
        <f t="shared" si="1"/>
        <v>4668.3540570772666</v>
      </c>
      <c r="O30" s="65">
        <f>'SC1 Admission Drop Scenario'!S30</f>
        <v>27</v>
      </c>
      <c r="P30" s="30">
        <f>'SC1 Admission Drop Scenario'!T30</f>
        <v>4346.3986048650413</v>
      </c>
      <c r="Q30" s="30">
        <f>Table1[[#This Row],[New Total Net Margin]]-Table1[[#This Row],[Total net Margin]]</f>
        <v>-321.95545221222528</v>
      </c>
      <c r="R30" s="66">
        <f>(Table1[[#This Row],[New Total Net Margin]]-Table1[[#This Row],[Total net Margin]])/Table1[[#This Row],[Total net Margin]]</f>
        <v>-6.8965517241379309E-2</v>
      </c>
      <c r="S30" s="64">
        <f>'SC2 Reduce LOS'!P30</f>
        <v>1.7999999999999998</v>
      </c>
      <c r="T30" s="30">
        <f>'SC2 Reduce LOS'!Q30</f>
        <v>4755.96</v>
      </c>
      <c r="U30" s="30">
        <f>(Table1[[#This Row],[Cost/ Discharge]]-Table1[[#This Row],[New Cost/Discharge]])*Table1[[#This Row],[Discharge Volume]]</f>
        <v>20897.399999999983</v>
      </c>
      <c r="V30" s="108">
        <f>'SC2 Reduce LOS'!S30</f>
        <v>-0.13157894736842096</v>
      </c>
      <c r="W30" s="30">
        <f>'SC2 Reduce LOS'!T30</f>
        <v>881.5777261061121</v>
      </c>
      <c r="X30" s="55">
        <f>'SC2 Reduce LOS'!U30</f>
        <v>25565.754057077251</v>
      </c>
    </row>
    <row r="31" spans="1:24" x14ac:dyDescent="0.2">
      <c r="A31" s="53" t="s">
        <v>178</v>
      </c>
      <c r="B31" s="35" t="s">
        <v>301</v>
      </c>
      <c r="C31" s="35" t="s">
        <v>302</v>
      </c>
      <c r="D31" s="29" t="s">
        <v>266</v>
      </c>
      <c r="E31" s="31" t="s">
        <v>303</v>
      </c>
      <c r="F31" s="33">
        <v>4.6233000000000004</v>
      </c>
      <c r="G31" s="34">
        <v>9.8000000000000007</v>
      </c>
      <c r="H31" s="27">
        <f>F31*Input!$C$15</f>
        <v>28329.901453928447</v>
      </c>
      <c r="I31" s="27">
        <f>F31*Input!$C$13</f>
        <v>2236.5676080000003</v>
      </c>
      <c r="J31" s="27">
        <f t="shared" ref="J31:J38" si="6">H31+I31</f>
        <v>30566.469061928448</v>
      </c>
      <c r="K31" s="30">
        <f>(Input!$C$21*'Master Table'!G31)+Input!$C$20</f>
        <v>16285.560000000001</v>
      </c>
      <c r="L31" s="27">
        <f t="shared" si="0"/>
        <v>14280.909061928447</v>
      </c>
      <c r="M31" s="29">
        <f>VLOOKUP(A31,'Good Samaritan Hospital'!$G:$I,3,FALSE)</f>
        <v>17</v>
      </c>
      <c r="N31" s="55">
        <f t="shared" si="1"/>
        <v>242775.45405278361</v>
      </c>
      <c r="O31" s="65">
        <f>'SC1 Admission Drop Scenario'!S31</f>
        <v>16</v>
      </c>
      <c r="P31" s="30">
        <f>'SC1 Admission Drop Scenario'!T31</f>
        <v>228494.54499085515</v>
      </c>
      <c r="Q31" s="30">
        <f>Table1[[#This Row],[New Total Net Margin]]-Table1[[#This Row],[Total net Margin]]</f>
        <v>-14280.909061928454</v>
      </c>
      <c r="R31" s="66">
        <f>(Table1[[#This Row],[New Total Net Margin]]-Table1[[#This Row],[Total net Margin]])/Table1[[#This Row],[Total net Margin]]</f>
        <v>-5.8823529411764733E-2</v>
      </c>
      <c r="S31" s="64">
        <f>'SC2 Reduce LOS'!P31</f>
        <v>9.3000000000000007</v>
      </c>
      <c r="T31" s="30">
        <f>'SC2 Reduce LOS'!Q31</f>
        <v>15564.960000000003</v>
      </c>
      <c r="U31" s="30">
        <f>(Table1[[#This Row],[Cost/ Discharge]]-Table1[[#This Row],[New Cost/Discharge]])*Table1[[#This Row],[Discharge Volume]]</f>
        <v>12250.199999999975</v>
      </c>
      <c r="V31" s="108">
        <f>'SC2 Reduce LOS'!S31</f>
        <v>-4.4247787610619378E-2</v>
      </c>
      <c r="W31" s="30">
        <f>'SC2 Reduce LOS'!T31</f>
        <v>15001.509061928446</v>
      </c>
      <c r="X31" s="55">
        <f>'SC2 Reduce LOS'!U31</f>
        <v>255025.65405278356</v>
      </c>
    </row>
    <row r="32" spans="1:24" x14ac:dyDescent="0.2">
      <c r="A32" s="53" t="s">
        <v>184</v>
      </c>
      <c r="B32" s="35" t="s">
        <v>301</v>
      </c>
      <c r="C32" s="35" t="s">
        <v>302</v>
      </c>
      <c r="D32" s="29" t="s">
        <v>266</v>
      </c>
      <c r="E32" s="31" t="s">
        <v>304</v>
      </c>
      <c r="F32" s="33">
        <v>2.4554</v>
      </c>
      <c r="G32" s="34">
        <v>5.3</v>
      </c>
      <c r="H32" s="27">
        <f>F32*Input!$C$15</f>
        <v>15045.798462132223</v>
      </c>
      <c r="I32" s="27">
        <f>F32*Input!$C$13</f>
        <v>1187.824304</v>
      </c>
      <c r="J32" s="27">
        <f t="shared" si="6"/>
        <v>16233.622766132223</v>
      </c>
      <c r="K32" s="30">
        <f>(Input!$C$21*'Master Table'!G32)+Input!$C$20</f>
        <v>9800.16</v>
      </c>
      <c r="L32" s="27">
        <f t="shared" si="0"/>
        <v>6433.4627661322229</v>
      </c>
      <c r="M32" s="29">
        <f>VLOOKUP(A32,'Good Samaritan Hospital'!$G:$I,3,FALSE)</f>
        <v>26</v>
      </c>
      <c r="N32" s="55">
        <f t="shared" si="1"/>
        <v>167270.03191943781</v>
      </c>
      <c r="O32" s="65">
        <f>'SC1 Admission Drop Scenario'!S32</f>
        <v>24</v>
      </c>
      <c r="P32" s="30">
        <f>'SC1 Admission Drop Scenario'!T32</f>
        <v>154403.10638717335</v>
      </c>
      <c r="Q32" s="30">
        <f>Table1[[#This Row],[New Total Net Margin]]-Table1[[#This Row],[Total net Margin]]</f>
        <v>-12866.92553226446</v>
      </c>
      <c r="R32" s="66">
        <f>(Table1[[#This Row],[New Total Net Margin]]-Table1[[#This Row],[Total net Margin]])/Table1[[#This Row],[Total net Margin]]</f>
        <v>-7.6923076923076997E-2</v>
      </c>
      <c r="S32" s="64">
        <f>'SC2 Reduce LOS'!P32</f>
        <v>4.8</v>
      </c>
      <c r="T32" s="30">
        <f>'SC2 Reduce LOS'!Q32</f>
        <v>9079.5600000000013</v>
      </c>
      <c r="U32" s="30">
        <f>(Table1[[#This Row],[Cost/ Discharge]]-Table1[[#This Row],[New Cost/Discharge]])*Table1[[#This Row],[Discharge Volume]]</f>
        <v>18735.599999999962</v>
      </c>
      <c r="V32" s="108">
        <f>'SC2 Reduce LOS'!S32</f>
        <v>-7.3529411764705732E-2</v>
      </c>
      <c r="W32" s="30">
        <f>'SC2 Reduce LOS'!T32</f>
        <v>7154.0627661322214</v>
      </c>
      <c r="X32" s="55">
        <f>'SC2 Reduce LOS'!U32</f>
        <v>186005.63191943776</v>
      </c>
    </row>
    <row r="33" spans="1:24" x14ac:dyDescent="0.2">
      <c r="A33" s="53" t="s">
        <v>193</v>
      </c>
      <c r="B33" s="35" t="s">
        <v>301</v>
      </c>
      <c r="C33" s="35" t="s">
        <v>302</v>
      </c>
      <c r="D33" s="29" t="s">
        <v>271</v>
      </c>
      <c r="E33" s="31" t="s">
        <v>305</v>
      </c>
      <c r="F33" s="33">
        <v>1.778</v>
      </c>
      <c r="G33" s="34">
        <v>4.5</v>
      </c>
      <c r="H33" s="27">
        <f>F33*Input!$C$15</f>
        <v>10894.937552199679</v>
      </c>
      <c r="I33" s="27">
        <f>F33*Input!$C$13</f>
        <v>860.12527999999998</v>
      </c>
      <c r="J33" s="27">
        <f t="shared" si="6"/>
        <v>11755.062832199679</v>
      </c>
      <c r="K33" s="30">
        <f>(Input!$C$21*'Master Table'!G33)+Input!$C$20</f>
        <v>8647.2000000000007</v>
      </c>
      <c r="L33" s="27">
        <f t="shared" si="0"/>
        <v>3107.8628321996785</v>
      </c>
      <c r="M33" s="29">
        <f>VLOOKUP(A33,'Good Samaritan Hospital'!$G:$I,3,FALSE)</f>
        <v>17</v>
      </c>
      <c r="N33" s="55">
        <f t="shared" si="1"/>
        <v>52833.668147394535</v>
      </c>
      <c r="O33" s="65">
        <f>'SC1 Admission Drop Scenario'!S33</f>
        <v>16</v>
      </c>
      <c r="P33" s="30">
        <f>'SC1 Admission Drop Scenario'!T33</f>
        <v>49725.805315194855</v>
      </c>
      <c r="Q33" s="30">
        <f>Table1[[#This Row],[New Total Net Margin]]-Table1[[#This Row],[Total net Margin]]</f>
        <v>-3107.8628321996803</v>
      </c>
      <c r="R33" s="66">
        <f>(Table1[[#This Row],[New Total Net Margin]]-Table1[[#This Row],[Total net Margin]])/Table1[[#This Row],[Total net Margin]]</f>
        <v>-5.882352941176474E-2</v>
      </c>
      <c r="S33" s="64">
        <f>'SC2 Reduce LOS'!P33</f>
        <v>4</v>
      </c>
      <c r="T33" s="30">
        <f>'SC2 Reduce LOS'!Q33</f>
        <v>7926.6</v>
      </c>
      <c r="U33" s="30">
        <f>(Table1[[#This Row],[Cost/ Discharge]]-Table1[[#This Row],[New Cost/Discharge]])*Table1[[#This Row],[Discharge Volume]]</f>
        <v>12250.200000000006</v>
      </c>
      <c r="V33" s="108">
        <f>'SC2 Reduce LOS'!S33</f>
        <v>-8.333333333333337E-2</v>
      </c>
      <c r="W33" s="30">
        <f>'SC2 Reduce LOS'!T33</f>
        <v>3828.4628321996788</v>
      </c>
      <c r="X33" s="55">
        <f>'SC2 Reduce LOS'!U33</f>
        <v>65083.86814739454</v>
      </c>
    </row>
    <row r="34" spans="1:24" x14ac:dyDescent="0.2">
      <c r="A34" s="53" t="s">
        <v>218</v>
      </c>
      <c r="B34" s="35" t="s">
        <v>301</v>
      </c>
      <c r="C34" s="35" t="s">
        <v>302</v>
      </c>
      <c r="D34" s="29" t="s">
        <v>271</v>
      </c>
      <c r="E34" s="31" t="s">
        <v>306</v>
      </c>
      <c r="F34" s="33">
        <v>0.98499999999999999</v>
      </c>
      <c r="G34" s="34">
        <v>3</v>
      </c>
      <c r="H34" s="27">
        <f>F34*Input!$C$15</f>
        <v>6035.7218722815996</v>
      </c>
      <c r="I34" s="27">
        <f>F34*Input!$C$13</f>
        <v>476.50360000000001</v>
      </c>
      <c r="J34" s="27">
        <f t="shared" si="6"/>
        <v>6512.2254722815997</v>
      </c>
      <c r="K34" s="30">
        <f>(Input!$C$21*'Master Table'!G34)+Input!$C$20</f>
        <v>6485.4000000000005</v>
      </c>
      <c r="L34" s="27">
        <f t="shared" si="0"/>
        <v>26.825472281599104</v>
      </c>
      <c r="M34" s="29">
        <f>VLOOKUP(A34,'Good Samaritan Hospital'!$G:$I,3,FALSE)</f>
        <v>50</v>
      </c>
      <c r="N34" s="55">
        <f t="shared" si="1"/>
        <v>1341.2736140799552</v>
      </c>
      <c r="O34" s="65">
        <f>'SC1 Admission Drop Scenario'!S34</f>
        <v>46</v>
      </c>
      <c r="P34" s="30">
        <f>'SC1 Admission Drop Scenario'!T34</f>
        <v>1233.9717249535588</v>
      </c>
      <c r="Q34" s="30">
        <f>Table1[[#This Row],[New Total Net Margin]]-Table1[[#This Row],[Total net Margin]]</f>
        <v>-107.30188912639642</v>
      </c>
      <c r="R34" s="66">
        <f>(Table1[[#This Row],[New Total Net Margin]]-Table1[[#This Row],[Total net Margin]])/Table1[[#This Row],[Total net Margin]]</f>
        <v>-0.08</v>
      </c>
      <c r="S34" s="64">
        <f>'SC2 Reduce LOS'!P34</f>
        <v>2.5</v>
      </c>
      <c r="T34" s="30">
        <f>'SC2 Reduce LOS'!Q34</f>
        <v>5764.8</v>
      </c>
      <c r="U34" s="30">
        <f>(Table1[[#This Row],[Cost/ Discharge]]-Table1[[#This Row],[New Cost/Discharge]])*Table1[[#This Row],[Discharge Volume]]</f>
        <v>36030.000000000015</v>
      </c>
      <c r="V34" s="108">
        <f>'SC2 Reduce LOS'!S34</f>
        <v>-0.11111111111111116</v>
      </c>
      <c r="W34" s="30">
        <f>'SC2 Reduce LOS'!T34</f>
        <v>747.42547228159947</v>
      </c>
      <c r="X34" s="55">
        <f>'SC2 Reduce LOS'!U34</f>
        <v>37371.273614079975</v>
      </c>
    </row>
    <row r="35" spans="1:24" x14ac:dyDescent="0.2">
      <c r="A35" s="53" t="s">
        <v>191</v>
      </c>
      <c r="B35" s="35" t="s">
        <v>301</v>
      </c>
      <c r="C35" s="35" t="s">
        <v>302</v>
      </c>
      <c r="D35" s="29" t="s">
        <v>271</v>
      </c>
      <c r="E35" s="31" t="s">
        <v>307</v>
      </c>
      <c r="F35" s="33">
        <v>1.4674</v>
      </c>
      <c r="G35" s="34">
        <v>4.5999999999999996</v>
      </c>
      <c r="H35" s="27">
        <f>F35*Input!$C$15</f>
        <v>8991.6936805949445</v>
      </c>
      <c r="I35" s="27">
        <f>F35*Input!$C$13</f>
        <v>709.86942399999998</v>
      </c>
      <c r="J35" s="27">
        <f t="shared" si="6"/>
        <v>9701.5631045949449</v>
      </c>
      <c r="K35" s="30">
        <f>(Input!$C$21*'Master Table'!G35)+Input!$C$20</f>
        <v>8791.32</v>
      </c>
      <c r="L35" s="27">
        <f t="shared" ref="L35:L66" si="7">J35-K35</f>
        <v>910.24310459494518</v>
      </c>
      <c r="M35" s="29">
        <f>VLOOKUP(A35,'Good Samaritan Hospital'!$G:$I,3,FALSE)</f>
        <v>14</v>
      </c>
      <c r="N35" s="55">
        <f t="shared" ref="N35:N66" si="8">L35*M35</f>
        <v>12743.403464329233</v>
      </c>
      <c r="O35" s="65">
        <f>'SC1 Admission Drop Scenario'!S35</f>
        <v>13</v>
      </c>
      <c r="P35" s="30">
        <f>'SC1 Admission Drop Scenario'!T35</f>
        <v>11833.160359734287</v>
      </c>
      <c r="Q35" s="30">
        <f>Table1[[#This Row],[New Total Net Margin]]-Table1[[#This Row],[Total net Margin]]</f>
        <v>-910.24310459494518</v>
      </c>
      <c r="R35" s="66">
        <f>(Table1[[#This Row],[New Total Net Margin]]-Table1[[#This Row],[Total net Margin]])/Table1[[#This Row],[Total net Margin]]</f>
        <v>-7.1428571428571425E-2</v>
      </c>
      <c r="S35" s="64">
        <f>'SC2 Reduce LOS'!P35</f>
        <v>4.0999999999999996</v>
      </c>
      <c r="T35" s="30">
        <f>'SC2 Reduce LOS'!Q35</f>
        <v>8070.72</v>
      </c>
      <c r="U35" s="30">
        <f>(Table1[[#This Row],[Cost/ Discharge]]-Table1[[#This Row],[New Cost/Discharge]])*Table1[[#This Row],[Discharge Volume]]</f>
        <v>10088.399999999992</v>
      </c>
      <c r="V35" s="108">
        <f>'SC2 Reduce LOS'!S35</f>
        <v>-8.1967213114754037E-2</v>
      </c>
      <c r="W35" s="30">
        <f>'SC2 Reduce LOS'!T35</f>
        <v>1630.8431045949446</v>
      </c>
      <c r="X35" s="55">
        <f>'SC2 Reduce LOS'!U35</f>
        <v>22831.803464329227</v>
      </c>
    </row>
    <row r="36" spans="1:24" x14ac:dyDescent="0.2">
      <c r="A36" s="53" t="s">
        <v>220</v>
      </c>
      <c r="B36" s="35" t="s">
        <v>301</v>
      </c>
      <c r="C36" s="35" t="s">
        <v>302</v>
      </c>
      <c r="D36" s="29" t="s">
        <v>271</v>
      </c>
      <c r="E36" s="31" t="s">
        <v>308</v>
      </c>
      <c r="F36" s="33">
        <v>0.80710000000000004</v>
      </c>
      <c r="G36" s="34">
        <v>3</v>
      </c>
      <c r="H36" s="27">
        <f>F36*Input!$C$15</f>
        <v>4945.6153534197756</v>
      </c>
      <c r="I36" s="27">
        <f>F36*Input!$C$13</f>
        <v>390.44269600000001</v>
      </c>
      <c r="J36" s="27">
        <f t="shared" si="6"/>
        <v>5336.0580494197757</v>
      </c>
      <c r="K36" s="30">
        <f>(Input!$C$21*'Master Table'!G36)+Input!$C$20</f>
        <v>6485.4000000000005</v>
      </c>
      <c r="L36" s="27">
        <f t="shared" si="7"/>
        <v>-1149.3419505802249</v>
      </c>
      <c r="M36" s="29">
        <f>VLOOKUP(A36,'Good Samaritan Hospital'!$G:$I,3,FALSE)</f>
        <v>17</v>
      </c>
      <c r="N36" s="55">
        <f t="shared" si="8"/>
        <v>-19538.813159863821</v>
      </c>
      <c r="O36" s="65">
        <f>'SC1 Admission Drop Scenario'!S36</f>
        <v>16</v>
      </c>
      <c r="P36" s="30">
        <f>'SC1 Admission Drop Scenario'!T36</f>
        <v>-18389.471209283598</v>
      </c>
      <c r="Q36" s="30">
        <f>Table1[[#This Row],[New Total Net Margin]]-Table1[[#This Row],[Total net Margin]]</f>
        <v>1149.3419505802231</v>
      </c>
      <c r="R36" s="66">
        <f>(Table1[[#This Row],[New Total Net Margin]]-Table1[[#This Row],[Total net Margin]])/Table1[[#This Row],[Total net Margin]]</f>
        <v>-5.8823529411764615E-2</v>
      </c>
      <c r="S36" s="64">
        <f>'SC2 Reduce LOS'!P36</f>
        <v>2.5</v>
      </c>
      <c r="T36" s="30">
        <f>'SC2 Reduce LOS'!Q36</f>
        <v>5764.8</v>
      </c>
      <c r="U36" s="30">
        <f>(Table1[[#This Row],[Cost/ Discharge]]-Table1[[#This Row],[New Cost/Discharge]])*Table1[[#This Row],[Discharge Volume]]</f>
        <v>12250.200000000006</v>
      </c>
      <c r="V36" s="108">
        <f>'SC2 Reduce LOS'!S36</f>
        <v>-0.11111111111111116</v>
      </c>
      <c r="W36" s="30">
        <f>'SC2 Reduce LOS'!T36</f>
        <v>-428.74195058022451</v>
      </c>
      <c r="X36" s="55">
        <f>'SC2 Reduce LOS'!U36</f>
        <v>-7288.6131598638167</v>
      </c>
    </row>
    <row r="37" spans="1:24" x14ac:dyDescent="0.2">
      <c r="A37" s="53" t="s">
        <v>233</v>
      </c>
      <c r="B37" s="35" t="s">
        <v>301</v>
      </c>
      <c r="C37" s="35" t="s">
        <v>302</v>
      </c>
      <c r="D37" s="29" t="s">
        <v>271</v>
      </c>
      <c r="E37" s="31" t="s">
        <v>309</v>
      </c>
      <c r="F37" s="33">
        <v>0.5655</v>
      </c>
      <c r="G37" s="34">
        <v>2.2999999999999998</v>
      </c>
      <c r="H37" s="27">
        <f>F37*Input!$C$15</f>
        <v>3465.1783946956798</v>
      </c>
      <c r="I37" s="27">
        <f>F37*Input!$C$13</f>
        <v>273.56628000000001</v>
      </c>
      <c r="J37" s="27">
        <f t="shared" si="6"/>
        <v>3738.7446746956798</v>
      </c>
      <c r="K37" s="30">
        <f>(Input!$C$21*'Master Table'!G37)+Input!$C$20</f>
        <v>5476.5599999999995</v>
      </c>
      <c r="L37" s="27">
        <f t="shared" si="7"/>
        <v>-1737.8153253043197</v>
      </c>
      <c r="M37" s="29">
        <f>VLOOKUP(A37,'Good Samaritan Hospital'!$G:$I,3,FALSE)</f>
        <v>12</v>
      </c>
      <c r="N37" s="55">
        <f t="shared" si="8"/>
        <v>-20853.783903651834</v>
      </c>
      <c r="O37" s="65">
        <f>'SC1 Admission Drop Scenario'!S37</f>
        <v>11</v>
      </c>
      <c r="P37" s="30">
        <f>'SC1 Admission Drop Scenario'!T37</f>
        <v>-19115.968578347518</v>
      </c>
      <c r="Q37" s="30">
        <f>Table1[[#This Row],[New Total Net Margin]]-Table1[[#This Row],[Total net Margin]]</f>
        <v>1737.8153253043165</v>
      </c>
      <c r="R37" s="66">
        <f>(Table1[[#This Row],[New Total Net Margin]]-Table1[[#This Row],[Total net Margin]])/Table1[[#This Row],[Total net Margin]]</f>
        <v>-8.333333333333319E-2</v>
      </c>
      <c r="S37" s="64">
        <f>'SC2 Reduce LOS'!P37</f>
        <v>1.7999999999999998</v>
      </c>
      <c r="T37" s="30">
        <f>'SC2 Reduce LOS'!Q37</f>
        <v>4755.96</v>
      </c>
      <c r="U37" s="30">
        <f>(Table1[[#This Row],[Cost/ Discharge]]-Table1[[#This Row],[New Cost/Discharge]])*Table1[[#This Row],[Discharge Volume]]</f>
        <v>8647.1999999999935</v>
      </c>
      <c r="V37" s="108">
        <f>'SC2 Reduce LOS'!S37</f>
        <v>-0.13157894736842096</v>
      </c>
      <c r="W37" s="30">
        <f>'SC2 Reduce LOS'!T37</f>
        <v>-1017.2153253043202</v>
      </c>
      <c r="X37" s="55">
        <f>'SC2 Reduce LOS'!U37</f>
        <v>-12206.583903651843</v>
      </c>
    </row>
    <row r="38" spans="1:24" x14ac:dyDescent="0.2">
      <c r="A38" s="53" t="s">
        <v>227</v>
      </c>
      <c r="B38" s="35" t="s">
        <v>301</v>
      </c>
      <c r="C38" s="35" t="s">
        <v>302</v>
      </c>
      <c r="D38" s="29" t="s">
        <v>271</v>
      </c>
      <c r="E38" s="31" t="s">
        <v>310</v>
      </c>
      <c r="F38" s="33">
        <v>0.78759999999999997</v>
      </c>
      <c r="G38" s="34">
        <v>2.6</v>
      </c>
      <c r="H38" s="27">
        <f>F38*Input!$C$15</f>
        <v>4826.1264432578555</v>
      </c>
      <c r="I38" s="27">
        <f>F38*Input!$C$13</f>
        <v>381.00937599999997</v>
      </c>
      <c r="J38" s="27">
        <f t="shared" si="6"/>
        <v>5207.1358192578555</v>
      </c>
      <c r="K38" s="30">
        <f>(Input!$C$21*'Master Table'!G38)+Input!$C$20</f>
        <v>5908.92</v>
      </c>
      <c r="L38" s="27">
        <f t="shared" si="7"/>
        <v>-701.7841807421446</v>
      </c>
      <c r="M38" s="29">
        <f>VLOOKUP(A38,'Good Samaritan Hospital'!$G:$I,3,FALSE)</f>
        <v>33</v>
      </c>
      <c r="N38" s="55">
        <f t="shared" si="8"/>
        <v>-23158.87796449077</v>
      </c>
      <c r="O38" s="65">
        <f>'SC1 Admission Drop Scenario'!S38</f>
        <v>30</v>
      </c>
      <c r="P38" s="30">
        <f>'SC1 Admission Drop Scenario'!T38</f>
        <v>-21053.525422264338</v>
      </c>
      <c r="Q38" s="30">
        <f>Table1[[#This Row],[New Total Net Margin]]-Table1[[#This Row],[Total net Margin]]</f>
        <v>2105.352542226432</v>
      </c>
      <c r="R38" s="66">
        <f>(Table1[[#This Row],[New Total Net Margin]]-Table1[[#This Row],[Total net Margin]])/Table1[[#This Row],[Total net Margin]]</f>
        <v>-9.0909090909090842E-2</v>
      </c>
      <c r="S38" s="64">
        <f>'SC2 Reduce LOS'!P38</f>
        <v>2.1</v>
      </c>
      <c r="T38" s="30">
        <f>'SC2 Reduce LOS'!Q38</f>
        <v>5188.3200000000006</v>
      </c>
      <c r="U38" s="30">
        <f>(Table1[[#This Row],[Cost/ Discharge]]-Table1[[#This Row],[New Cost/Discharge]])*Table1[[#This Row],[Discharge Volume]]</f>
        <v>23779.799999999981</v>
      </c>
      <c r="V38" s="108">
        <f>'SC2 Reduce LOS'!S38</f>
        <v>-0.12195121951219502</v>
      </c>
      <c r="W38" s="30">
        <f>'SC2 Reduce LOS'!T38</f>
        <v>18.815819257854855</v>
      </c>
      <c r="X38" s="55">
        <f>'SC2 Reduce LOS'!U38</f>
        <v>620.92203550921022</v>
      </c>
    </row>
    <row r="39" spans="1:24" x14ac:dyDescent="0.2">
      <c r="A39" s="53" t="s">
        <v>219</v>
      </c>
      <c r="B39" s="35" t="s">
        <v>301</v>
      </c>
      <c r="C39" s="35" t="s">
        <v>302</v>
      </c>
      <c r="D39" s="29" t="s">
        <v>271</v>
      </c>
      <c r="E39" s="31" t="s">
        <v>311</v>
      </c>
      <c r="F39" s="33">
        <v>0.94299999999999995</v>
      </c>
      <c r="G39" s="34">
        <v>3</v>
      </c>
      <c r="H39" s="27">
        <f>F39*Input!$C$15</f>
        <v>5778.3611427020796</v>
      </c>
      <c r="I39" s="27">
        <f>F39*Input!$C$13</f>
        <v>456.18567999999999</v>
      </c>
      <c r="J39" s="27">
        <f t="shared" ref="J39:J45" si="9">H39+I39</f>
        <v>6234.5468227020792</v>
      </c>
      <c r="K39" s="30">
        <f>(Input!$C$21*'Master Table'!G39)+Input!$C$20</f>
        <v>6485.4000000000005</v>
      </c>
      <c r="L39" s="27">
        <f t="shared" si="7"/>
        <v>-250.85317729792132</v>
      </c>
      <c r="M39" s="29">
        <f>VLOOKUP(A39,'Good Samaritan Hospital'!$G:$I,3,FALSE)</f>
        <v>12</v>
      </c>
      <c r="N39" s="55">
        <f t="shared" si="8"/>
        <v>-3010.2381275750558</v>
      </c>
      <c r="O39" s="65">
        <f>'SC1 Admission Drop Scenario'!S39</f>
        <v>11</v>
      </c>
      <c r="P39" s="30">
        <f>'SC1 Admission Drop Scenario'!T39</f>
        <v>-2759.3849502771345</v>
      </c>
      <c r="Q39" s="30">
        <f>Table1[[#This Row],[New Total Net Margin]]-Table1[[#This Row],[Total net Margin]]</f>
        <v>250.85317729792132</v>
      </c>
      <c r="R39" s="66">
        <f>(Table1[[#This Row],[New Total Net Margin]]-Table1[[#This Row],[Total net Margin]])/Table1[[#This Row],[Total net Margin]]</f>
        <v>-8.3333333333333329E-2</v>
      </c>
      <c r="S39" s="64">
        <f>'SC2 Reduce LOS'!P39</f>
        <v>2.5</v>
      </c>
      <c r="T39" s="30">
        <f>'SC2 Reduce LOS'!Q39</f>
        <v>5764.8</v>
      </c>
      <c r="U39" s="30">
        <f>(Table1[[#This Row],[Cost/ Discharge]]-Table1[[#This Row],[New Cost/Discharge]])*Table1[[#This Row],[Discharge Volume]]</f>
        <v>8647.2000000000044</v>
      </c>
      <c r="V39" s="108">
        <f>'SC2 Reduce LOS'!S39</f>
        <v>-0.11111111111111116</v>
      </c>
      <c r="W39" s="30">
        <f>'SC2 Reduce LOS'!T39</f>
        <v>469.74682270207904</v>
      </c>
      <c r="X39" s="55">
        <f>'SC2 Reduce LOS'!U39</f>
        <v>5636.9618724249485</v>
      </c>
    </row>
    <row r="40" spans="1:24" x14ac:dyDescent="0.2">
      <c r="A40" s="53" t="s">
        <v>213</v>
      </c>
      <c r="B40" s="35" t="s">
        <v>312</v>
      </c>
      <c r="C40" s="35" t="s">
        <v>313</v>
      </c>
      <c r="D40" s="29" t="s">
        <v>266</v>
      </c>
      <c r="E40" s="31" t="s">
        <v>314</v>
      </c>
      <c r="F40" s="33">
        <v>1.661</v>
      </c>
      <c r="G40" s="34">
        <v>3.4</v>
      </c>
      <c r="H40" s="27">
        <f>F40*Input!$C$15</f>
        <v>10178.00409122816</v>
      </c>
      <c r="I40" s="27">
        <f>F40*Input!$C$13</f>
        <v>803.52535999999998</v>
      </c>
      <c r="J40" s="27">
        <f t="shared" si="9"/>
        <v>10981.52945122816</v>
      </c>
      <c r="K40" s="30">
        <f>(Input!$C$21*'Master Table'!G40)+Input!$C$20</f>
        <v>7061.88</v>
      </c>
      <c r="L40" s="27">
        <f t="shared" si="7"/>
        <v>3919.6494512281597</v>
      </c>
      <c r="M40" s="29">
        <f>VLOOKUP(A40,'Good Samaritan Hospital'!$G:$I,3,FALSE)</f>
        <v>14</v>
      </c>
      <c r="N40" s="55">
        <f t="shared" si="8"/>
        <v>54875.092317194234</v>
      </c>
      <c r="O40" s="65">
        <f>'SC1 Admission Drop Scenario'!S40</f>
        <v>13</v>
      </c>
      <c r="P40" s="30">
        <f>'SC1 Admission Drop Scenario'!T40</f>
        <v>50955.442865966077</v>
      </c>
      <c r="Q40" s="30">
        <f>Table1[[#This Row],[New Total Net Margin]]-Table1[[#This Row],[Total net Margin]]</f>
        <v>-3919.649451228157</v>
      </c>
      <c r="R40" s="66">
        <f>(Table1[[#This Row],[New Total Net Margin]]-Table1[[#This Row],[Total net Margin]])/Table1[[#This Row],[Total net Margin]]</f>
        <v>-7.1428571428571383E-2</v>
      </c>
      <c r="S40" s="64">
        <f>'SC2 Reduce LOS'!P40</f>
        <v>2.9</v>
      </c>
      <c r="T40" s="30">
        <f>'SC2 Reduce LOS'!Q40</f>
        <v>6341.28</v>
      </c>
      <c r="U40" s="30">
        <f>(Table1[[#This Row],[Cost/ Discharge]]-Table1[[#This Row],[New Cost/Discharge]])*Table1[[#This Row],[Discharge Volume]]</f>
        <v>10088.400000000005</v>
      </c>
      <c r="V40" s="108">
        <f>'SC2 Reduce LOS'!S40</f>
        <v>-0.10204081632653066</v>
      </c>
      <c r="W40" s="30">
        <f>'SC2 Reduce LOS'!T40</f>
        <v>4640.2494512281601</v>
      </c>
      <c r="X40" s="55">
        <f>'SC2 Reduce LOS'!U40</f>
        <v>64963.492317194243</v>
      </c>
    </row>
    <row r="41" spans="1:24" x14ac:dyDescent="0.2">
      <c r="A41" s="53" t="s">
        <v>181</v>
      </c>
      <c r="B41" s="35" t="s">
        <v>315</v>
      </c>
      <c r="C41" s="35" t="s">
        <v>316</v>
      </c>
      <c r="D41" s="29" t="s">
        <v>266</v>
      </c>
      <c r="E41" s="31" t="s">
        <v>317</v>
      </c>
      <c r="F41" s="33">
        <v>9.1547999999999998</v>
      </c>
      <c r="G41" s="34">
        <v>7.5</v>
      </c>
      <c r="H41" s="27">
        <f>F41*Input!$C$15</f>
        <v>56097.285884633086</v>
      </c>
      <c r="I41" s="27">
        <f>F41*Input!$C$13</f>
        <v>4428.7260479999995</v>
      </c>
      <c r="J41" s="27">
        <f t="shared" si="9"/>
        <v>60526.011932633082</v>
      </c>
      <c r="K41" s="30">
        <f>(Input!$C$21*'Master Table'!G41)+Input!$C$20</f>
        <v>12970.8</v>
      </c>
      <c r="L41" s="27">
        <f t="shared" si="7"/>
        <v>47555.211932633087</v>
      </c>
      <c r="M41" s="29">
        <f>VLOOKUP(A41,'Good Samaritan Hospital'!$G:$I,3,FALSE)</f>
        <v>25</v>
      </c>
      <c r="N41" s="55">
        <f t="shared" si="8"/>
        <v>1188880.2983158273</v>
      </c>
      <c r="O41" s="65">
        <f>'SC1 Admission Drop Scenario'!S41</f>
        <v>23</v>
      </c>
      <c r="P41" s="30">
        <f>'SC1 Admission Drop Scenario'!T41</f>
        <v>1093769.8744505609</v>
      </c>
      <c r="Q41" s="30">
        <f>Table1[[#This Row],[New Total Net Margin]]-Table1[[#This Row],[Total net Margin]]</f>
        <v>-95110.423865266377</v>
      </c>
      <c r="R41" s="66">
        <f>(Table1[[#This Row],[New Total Net Margin]]-Table1[[#This Row],[Total net Margin]])/Table1[[#This Row],[Total net Margin]]</f>
        <v>-8.0000000000000168E-2</v>
      </c>
      <c r="S41" s="64">
        <f>'SC2 Reduce LOS'!P41</f>
        <v>7</v>
      </c>
      <c r="T41" s="30">
        <f>'SC2 Reduce LOS'!Q41</f>
        <v>12250.2</v>
      </c>
      <c r="U41" s="30">
        <f>(Table1[[#This Row],[Cost/ Discharge]]-Table1[[#This Row],[New Cost/Discharge]])*Table1[[#This Row],[Discharge Volume]]</f>
        <v>18014.999999999964</v>
      </c>
      <c r="V41" s="108">
        <f>'SC2 Reduce LOS'!S41</f>
        <v>-5.5555555555555448E-2</v>
      </c>
      <c r="W41" s="30">
        <f>'SC2 Reduce LOS'!T41</f>
        <v>48275.811932633078</v>
      </c>
      <c r="X41" s="55">
        <f>'SC2 Reduce LOS'!U41</f>
        <v>1206895.298315827</v>
      </c>
    </row>
    <row r="42" spans="1:24" x14ac:dyDescent="0.2">
      <c r="A42" s="53" t="s">
        <v>206</v>
      </c>
      <c r="B42" s="35" t="s">
        <v>315</v>
      </c>
      <c r="C42" s="35" t="s">
        <v>316</v>
      </c>
      <c r="D42" s="29" t="s">
        <v>266</v>
      </c>
      <c r="E42" s="31" t="s">
        <v>318</v>
      </c>
      <c r="F42" s="33">
        <v>6.0909000000000004</v>
      </c>
      <c r="G42" s="34">
        <v>3.7</v>
      </c>
      <c r="H42" s="27">
        <f>F42*Input!$C$15</f>
        <v>37322.820661807105</v>
      </c>
      <c r="I42" s="27">
        <f>F42*Input!$C$13</f>
        <v>2946.5337840000002</v>
      </c>
      <c r="J42" s="27">
        <f t="shared" si="9"/>
        <v>40269.354445807105</v>
      </c>
      <c r="K42" s="30">
        <f>(Input!$C$21*'Master Table'!G42)+Input!$C$20</f>
        <v>7494.2400000000007</v>
      </c>
      <c r="L42" s="27">
        <f t="shared" si="7"/>
        <v>32775.114445807107</v>
      </c>
      <c r="M42" s="29">
        <f>VLOOKUP(A42,'Good Samaritan Hospital'!$G:$I,3,FALSE)</f>
        <v>46</v>
      </c>
      <c r="N42" s="55">
        <f t="shared" si="8"/>
        <v>1507655.264507127</v>
      </c>
      <c r="O42" s="65">
        <f>'SC1 Admission Drop Scenario'!S42</f>
        <v>42</v>
      </c>
      <c r="P42" s="30">
        <f>'SC1 Admission Drop Scenario'!T42</f>
        <v>1376554.8067238985</v>
      </c>
      <c r="Q42" s="30">
        <f>Table1[[#This Row],[New Total Net Margin]]-Table1[[#This Row],[Total net Margin]]</f>
        <v>-131100.45778322848</v>
      </c>
      <c r="R42" s="66">
        <f>(Table1[[#This Row],[New Total Net Margin]]-Table1[[#This Row],[Total net Margin]])/Table1[[#This Row],[Total net Margin]]</f>
        <v>-8.6956521739130474E-2</v>
      </c>
      <c r="S42" s="64">
        <f>'SC2 Reduce LOS'!P42</f>
        <v>3.2</v>
      </c>
      <c r="T42" s="30">
        <f>'SC2 Reduce LOS'!Q42</f>
        <v>6773.64</v>
      </c>
      <c r="U42" s="30">
        <f>(Table1[[#This Row],[Cost/ Discharge]]-Table1[[#This Row],[New Cost/Discharge]])*Table1[[#This Row],[Discharge Volume]]</f>
        <v>33147.60000000002</v>
      </c>
      <c r="V42" s="108">
        <f>'SC2 Reduce LOS'!S42</f>
        <v>-9.6153846153846187E-2</v>
      </c>
      <c r="W42" s="30">
        <f>'SC2 Reduce LOS'!T42</f>
        <v>33495.714445807105</v>
      </c>
      <c r="X42" s="55">
        <f>'SC2 Reduce LOS'!U42</f>
        <v>1540802.8645071269</v>
      </c>
    </row>
    <row r="43" spans="1:24" x14ac:dyDescent="0.2">
      <c r="A43" s="53" t="s">
        <v>230</v>
      </c>
      <c r="B43" s="35" t="s">
        <v>315</v>
      </c>
      <c r="C43" s="35" t="s">
        <v>316</v>
      </c>
      <c r="D43" s="29" t="s">
        <v>266</v>
      </c>
      <c r="E43" s="31" t="s">
        <v>319</v>
      </c>
      <c r="F43" s="33">
        <v>4.7880000000000003</v>
      </c>
      <c r="G43" s="34">
        <v>2.4</v>
      </c>
      <c r="H43" s="27">
        <f>F43*Input!$C$15</f>
        <v>29339.12317206528</v>
      </c>
      <c r="I43" s="27">
        <f>F43*Input!$C$13</f>
        <v>2316.2428800000002</v>
      </c>
      <c r="J43" s="27">
        <f t="shared" si="9"/>
        <v>31655.366052065281</v>
      </c>
      <c r="K43" s="30">
        <f>(Input!$C$21*'Master Table'!G43)+Input!$C$20</f>
        <v>5620.68</v>
      </c>
      <c r="L43" s="27">
        <f t="shared" si="7"/>
        <v>26034.686052065281</v>
      </c>
      <c r="M43" s="29">
        <f>VLOOKUP(A43,'Good Samaritan Hospital'!$G:$I,3,FALSE)</f>
        <v>42</v>
      </c>
      <c r="N43" s="55">
        <f t="shared" si="8"/>
        <v>1093456.8141867418</v>
      </c>
      <c r="O43" s="65">
        <f>'SC1 Admission Drop Scenario'!S43</f>
        <v>39</v>
      </c>
      <c r="P43" s="30">
        <f>'SC1 Admission Drop Scenario'!T43</f>
        <v>1015352.7560305459</v>
      </c>
      <c r="Q43" s="30">
        <f>Table1[[#This Row],[New Total Net Margin]]-Table1[[#This Row],[Total net Margin]]</f>
        <v>-78104.058156195912</v>
      </c>
      <c r="R43" s="66">
        <f>(Table1[[#This Row],[New Total Net Margin]]-Table1[[#This Row],[Total net Margin]])/Table1[[#This Row],[Total net Margin]]</f>
        <v>-7.1428571428571494E-2</v>
      </c>
      <c r="S43" s="64">
        <f>'SC2 Reduce LOS'!P43</f>
        <v>1.9</v>
      </c>
      <c r="T43" s="30">
        <f>'SC2 Reduce LOS'!Q43</f>
        <v>4900.08</v>
      </c>
      <c r="U43" s="30">
        <f>(Table1[[#This Row],[Cost/ Discharge]]-Table1[[#This Row],[New Cost/Discharge]])*Table1[[#This Row],[Discharge Volume]]</f>
        <v>30265.200000000015</v>
      </c>
      <c r="V43" s="108">
        <f>'SC2 Reduce LOS'!S43</f>
        <v>-0.12820512820512828</v>
      </c>
      <c r="W43" s="30">
        <f>'SC2 Reduce LOS'!T43</f>
        <v>26755.286052065283</v>
      </c>
      <c r="X43" s="55">
        <f>'SC2 Reduce LOS'!U43</f>
        <v>1123722.0141867418</v>
      </c>
    </row>
    <row r="44" spans="1:24" x14ac:dyDescent="0.2">
      <c r="A44" s="53" t="s">
        <v>222</v>
      </c>
      <c r="B44" s="35" t="s">
        <v>315</v>
      </c>
      <c r="C44" s="35" t="s">
        <v>316</v>
      </c>
      <c r="D44" s="29" t="s">
        <v>266</v>
      </c>
      <c r="E44" s="31" t="s">
        <v>320</v>
      </c>
      <c r="F44" s="33">
        <v>3.766</v>
      </c>
      <c r="G44" s="34">
        <v>2.8</v>
      </c>
      <c r="H44" s="27">
        <f>F44*Input!$C$15</f>
        <v>23076.678752296957</v>
      </c>
      <c r="I44" s="27">
        <f>F44*Input!$C$13</f>
        <v>1821.84016</v>
      </c>
      <c r="J44" s="27">
        <f t="shared" si="9"/>
        <v>24898.518912296957</v>
      </c>
      <c r="K44" s="30">
        <f>(Input!$C$21*'Master Table'!G44)+Input!$C$20</f>
        <v>6197.16</v>
      </c>
      <c r="L44" s="27">
        <f t="shared" si="7"/>
        <v>18701.358912296957</v>
      </c>
      <c r="M44" s="29">
        <f>VLOOKUP(A44,'Good Samaritan Hospital'!$G:$I,3,FALSE)</f>
        <v>16</v>
      </c>
      <c r="N44" s="55">
        <f t="shared" si="8"/>
        <v>299221.74259675131</v>
      </c>
      <c r="O44" s="65">
        <f>'SC1 Admission Drop Scenario'!S44</f>
        <v>15</v>
      </c>
      <c r="P44" s="30">
        <f>'SC1 Admission Drop Scenario'!T44</f>
        <v>280520.38368445437</v>
      </c>
      <c r="Q44" s="30">
        <f>Table1[[#This Row],[New Total Net Margin]]-Table1[[#This Row],[Total net Margin]]</f>
        <v>-18701.358912296942</v>
      </c>
      <c r="R44" s="66">
        <f>(Table1[[#This Row],[New Total Net Margin]]-Table1[[#This Row],[Total net Margin]])/Table1[[#This Row],[Total net Margin]]</f>
        <v>-6.2499999999999951E-2</v>
      </c>
      <c r="S44" s="64">
        <f>'SC2 Reduce LOS'!P44</f>
        <v>2.2999999999999998</v>
      </c>
      <c r="T44" s="30">
        <f>'SC2 Reduce LOS'!Q44</f>
        <v>5476.5599999999995</v>
      </c>
      <c r="U44" s="30">
        <f>(Table1[[#This Row],[Cost/ Discharge]]-Table1[[#This Row],[New Cost/Discharge]])*Table1[[#This Row],[Discharge Volume]]</f>
        <v>11529.600000000006</v>
      </c>
      <c r="V44" s="108">
        <f>'SC2 Reduce LOS'!S44</f>
        <v>-0.11627906976744193</v>
      </c>
      <c r="W44" s="30">
        <f>'SC2 Reduce LOS'!T44</f>
        <v>19421.958912296956</v>
      </c>
      <c r="X44" s="55">
        <f>'SC2 Reduce LOS'!U44</f>
        <v>310751.34259675129</v>
      </c>
    </row>
    <row r="45" spans="1:24" x14ac:dyDescent="0.2">
      <c r="A45" s="53" t="s">
        <v>239</v>
      </c>
      <c r="B45" s="35" t="s">
        <v>315</v>
      </c>
      <c r="C45" s="35" t="s">
        <v>316</v>
      </c>
      <c r="D45" s="29" t="s">
        <v>266</v>
      </c>
      <c r="E45" s="31" t="s">
        <v>321</v>
      </c>
      <c r="F45" s="33">
        <v>1.9118999999999999</v>
      </c>
      <c r="G45" s="34">
        <v>1.7</v>
      </c>
      <c r="H45" s="27">
        <f>F45*Input!$C$15</f>
        <v>11715.428068644862</v>
      </c>
      <c r="I45" s="27">
        <f>F45*Input!$C$13</f>
        <v>924.90074399999992</v>
      </c>
      <c r="J45" s="27">
        <f t="shared" si="9"/>
        <v>12640.328812644862</v>
      </c>
      <c r="K45" s="30">
        <f>(Input!$C$21*'Master Table'!G45)+Input!$C$20</f>
        <v>4611.84</v>
      </c>
      <c r="L45" s="27">
        <f t="shared" si="7"/>
        <v>8028.4888126448623</v>
      </c>
      <c r="M45" s="29">
        <f>VLOOKUP(A45,'Good Samaritan Hospital'!$G:$I,3,FALSE)</f>
        <v>31</v>
      </c>
      <c r="N45" s="55">
        <f t="shared" si="8"/>
        <v>248883.15319199074</v>
      </c>
      <c r="O45" s="65">
        <f>'SC1 Admission Drop Scenario'!S45</f>
        <v>29</v>
      </c>
      <c r="P45" s="30">
        <f>'SC1 Admission Drop Scenario'!T45</f>
        <v>232826.17556670101</v>
      </c>
      <c r="Q45" s="30">
        <f>Table1[[#This Row],[New Total Net Margin]]-Table1[[#This Row],[Total net Margin]]</f>
        <v>-16056.977625289728</v>
      </c>
      <c r="R45" s="66">
        <f>(Table1[[#This Row],[New Total Net Margin]]-Table1[[#This Row],[Total net Margin]])/Table1[[#This Row],[Total net Margin]]</f>
        <v>-6.4516129032258077E-2</v>
      </c>
      <c r="S45" s="64">
        <f>'SC2 Reduce LOS'!P45</f>
        <v>1.2</v>
      </c>
      <c r="T45" s="30">
        <f>'SC2 Reduce LOS'!Q45</f>
        <v>3891.2400000000002</v>
      </c>
      <c r="U45" s="30">
        <f>(Table1[[#This Row],[Cost/ Discharge]]-Table1[[#This Row],[New Cost/Discharge]])*Table1[[#This Row],[Discharge Volume]]</f>
        <v>22338.6</v>
      </c>
      <c r="V45" s="108">
        <f>'SC2 Reduce LOS'!S45</f>
        <v>-0.15624999999999997</v>
      </c>
      <c r="W45" s="30">
        <f>'SC2 Reduce LOS'!T45</f>
        <v>8749.0888126448626</v>
      </c>
      <c r="X45" s="55">
        <f>'SC2 Reduce LOS'!U45</f>
        <v>271221.75319199072</v>
      </c>
    </row>
    <row r="46" spans="1:24" x14ac:dyDescent="0.2">
      <c r="A46" s="53" t="s">
        <v>194</v>
      </c>
      <c r="B46" s="35" t="s">
        <v>315</v>
      </c>
      <c r="C46" s="35" t="s">
        <v>316</v>
      </c>
      <c r="D46" s="29" t="s">
        <v>266</v>
      </c>
      <c r="E46" s="31" t="s">
        <v>322</v>
      </c>
      <c r="F46" s="33">
        <v>2.1124000000000001</v>
      </c>
      <c r="G46" s="34">
        <v>4.4000000000000004</v>
      </c>
      <c r="H46" s="27">
        <f>F46*Input!$C$15</f>
        <v>12944.019170566144</v>
      </c>
      <c r="I46" s="27">
        <f>F46*Input!$C$13</f>
        <v>1021.894624</v>
      </c>
      <c r="J46" s="27">
        <f t="shared" ref="J46:J49" si="10">H46+I46</f>
        <v>13965.913794566144</v>
      </c>
      <c r="K46" s="30">
        <f>(Input!$C$21*'Master Table'!G46)+Input!$C$20</f>
        <v>8503.0800000000017</v>
      </c>
      <c r="L46" s="27">
        <f t="shared" si="7"/>
        <v>5462.8337945661424</v>
      </c>
      <c r="M46" s="29">
        <f>VLOOKUP(A46,'Good Samaritan Hospital'!$G:$I,3,FALSE)</f>
        <v>22</v>
      </c>
      <c r="N46" s="55">
        <f t="shared" si="8"/>
        <v>120182.34348045514</v>
      </c>
      <c r="O46" s="65">
        <f>'SC1 Admission Drop Scenario'!S46</f>
        <v>20</v>
      </c>
      <c r="P46" s="30">
        <f>'SC1 Admission Drop Scenario'!T46</f>
        <v>109256.67589132284</v>
      </c>
      <c r="Q46" s="30">
        <f>Table1[[#This Row],[New Total Net Margin]]-Table1[[#This Row],[Total net Margin]]</f>
        <v>-10925.667589132296</v>
      </c>
      <c r="R46" s="66">
        <f>(Table1[[#This Row],[New Total Net Margin]]-Table1[[#This Row],[Total net Margin]])/Table1[[#This Row],[Total net Margin]]</f>
        <v>-9.0909090909090995E-2</v>
      </c>
      <c r="S46" s="64">
        <f>'SC2 Reduce LOS'!P46</f>
        <v>3.9000000000000004</v>
      </c>
      <c r="T46" s="30">
        <f>'SC2 Reduce LOS'!Q46</f>
        <v>7782.4800000000005</v>
      </c>
      <c r="U46" s="30">
        <f>(Table1[[#This Row],[Cost/ Discharge]]-Table1[[#This Row],[New Cost/Discharge]])*Table1[[#This Row],[Discharge Volume]]</f>
        <v>15853.200000000028</v>
      </c>
      <c r="V46" s="108">
        <f>'SC2 Reduce LOS'!S46</f>
        <v>-8.4745762711864542E-2</v>
      </c>
      <c r="W46" s="30">
        <f>'SC2 Reduce LOS'!T46</f>
        <v>6183.4337945661437</v>
      </c>
      <c r="X46" s="55">
        <f>'SC2 Reduce LOS'!U46</f>
        <v>136035.54348045515</v>
      </c>
    </row>
    <row r="47" spans="1:24" x14ac:dyDescent="0.2">
      <c r="A47" s="53" t="s">
        <v>241</v>
      </c>
      <c r="B47" s="35" t="s">
        <v>315</v>
      </c>
      <c r="C47" s="35" t="s">
        <v>316</v>
      </c>
      <c r="D47" s="29" t="s">
        <v>266</v>
      </c>
      <c r="E47" s="31" t="s">
        <v>323</v>
      </c>
      <c r="F47" s="33">
        <v>2.3576000000000001</v>
      </c>
      <c r="G47" s="34">
        <v>1.4</v>
      </c>
      <c r="H47" s="27">
        <f>F47*Input!$C$15</f>
        <v>14446.515620397056</v>
      </c>
      <c r="I47" s="27">
        <f>F47*Input!$C$13</f>
        <v>1140.5125760000001</v>
      </c>
      <c r="J47" s="27">
        <f t="shared" si="10"/>
        <v>15587.028196397056</v>
      </c>
      <c r="K47" s="30">
        <f>(Input!$C$21*'Master Table'!G47)+Input!$C$20</f>
        <v>4179.4799999999996</v>
      </c>
      <c r="L47" s="27">
        <f t="shared" si="7"/>
        <v>11407.548196397056</v>
      </c>
      <c r="M47" s="29">
        <f>VLOOKUP(A47,'Good Samaritan Hospital'!$G:$I,3,FALSE)</f>
        <v>19</v>
      </c>
      <c r="N47" s="55">
        <f t="shared" si="8"/>
        <v>216743.41573154405</v>
      </c>
      <c r="O47" s="65">
        <f>'SC1 Admission Drop Scenario'!S47</f>
        <v>17</v>
      </c>
      <c r="P47" s="30">
        <f>'SC1 Admission Drop Scenario'!T47</f>
        <v>193928.31933874995</v>
      </c>
      <c r="Q47" s="30">
        <f>Table1[[#This Row],[New Total Net Margin]]-Table1[[#This Row],[Total net Margin]]</f>
        <v>-22815.096392794105</v>
      </c>
      <c r="R47" s="66">
        <f>(Table1[[#This Row],[New Total Net Margin]]-Table1[[#This Row],[Total net Margin]])/Table1[[#This Row],[Total net Margin]]</f>
        <v>-0.10526315789473681</v>
      </c>
      <c r="S47" s="64">
        <f>'SC2 Reduce LOS'!P47</f>
        <v>0.89999999999999991</v>
      </c>
      <c r="T47" s="30">
        <f>'SC2 Reduce LOS'!Q47</f>
        <v>3458.88</v>
      </c>
      <c r="U47" s="30">
        <f>(Table1[[#This Row],[Cost/ Discharge]]-Table1[[#This Row],[New Cost/Discharge]])*Table1[[#This Row],[Discharge Volume]]</f>
        <v>13691.399999999991</v>
      </c>
      <c r="V47" s="108">
        <f>'SC2 Reduce LOS'!S47</f>
        <v>-0.17241379310344818</v>
      </c>
      <c r="W47" s="30">
        <f>'SC2 Reduce LOS'!T47</f>
        <v>12128.148196397055</v>
      </c>
      <c r="X47" s="55">
        <f>'SC2 Reduce LOS'!U47</f>
        <v>230434.81573154405</v>
      </c>
    </row>
    <row r="48" spans="1:24" x14ac:dyDescent="0.2">
      <c r="A48" s="53" t="s">
        <v>199</v>
      </c>
      <c r="B48" s="35" t="s">
        <v>315</v>
      </c>
      <c r="C48" s="35" t="s">
        <v>316</v>
      </c>
      <c r="D48" s="29" t="s">
        <v>266</v>
      </c>
      <c r="E48" s="31" t="s">
        <v>324</v>
      </c>
      <c r="F48" s="33">
        <v>2.1728999999999998</v>
      </c>
      <c r="G48" s="34">
        <v>4</v>
      </c>
      <c r="H48" s="27">
        <f>F48*Input!$C$15</f>
        <v>13314.741173889022</v>
      </c>
      <c r="I48" s="27">
        <f>F48*Input!$C$13</f>
        <v>1051.162104</v>
      </c>
      <c r="J48" s="27">
        <f t="shared" si="10"/>
        <v>14365.903277889021</v>
      </c>
      <c r="K48" s="30">
        <f>(Input!$C$21*'Master Table'!G48)+Input!$C$20</f>
        <v>7926.6</v>
      </c>
      <c r="L48" s="27">
        <f t="shared" si="7"/>
        <v>6439.303277889021</v>
      </c>
      <c r="M48" s="29">
        <f>VLOOKUP(A48,'Good Samaritan Hospital'!$G:$I,3,FALSE)</f>
        <v>14</v>
      </c>
      <c r="N48" s="55">
        <f t="shared" si="8"/>
        <v>90150.245890446298</v>
      </c>
      <c r="O48" s="65">
        <f>'SC1 Admission Drop Scenario'!S48</f>
        <v>13</v>
      </c>
      <c r="P48" s="30">
        <f>'SC1 Admission Drop Scenario'!T48</f>
        <v>83710.942612557279</v>
      </c>
      <c r="Q48" s="30">
        <f>Table1[[#This Row],[New Total Net Margin]]-Table1[[#This Row],[Total net Margin]]</f>
        <v>-6439.3032778890192</v>
      </c>
      <c r="R48" s="66">
        <f>(Table1[[#This Row],[New Total Net Margin]]-Table1[[#This Row],[Total net Margin]])/Table1[[#This Row],[Total net Margin]]</f>
        <v>-7.1428571428571411E-2</v>
      </c>
      <c r="S48" s="64">
        <f>'SC2 Reduce LOS'!P48</f>
        <v>3.5</v>
      </c>
      <c r="T48" s="30">
        <f>'SC2 Reduce LOS'!Q48</f>
        <v>7206</v>
      </c>
      <c r="U48" s="30">
        <f>(Table1[[#This Row],[Cost/ Discharge]]-Table1[[#This Row],[New Cost/Discharge]])*Table1[[#This Row],[Discharge Volume]]</f>
        <v>10088.400000000005</v>
      </c>
      <c r="V48" s="108">
        <f>'SC2 Reduce LOS'!S48</f>
        <v>-9.0909090909090953E-2</v>
      </c>
      <c r="W48" s="30">
        <f>'SC2 Reduce LOS'!T48</f>
        <v>7159.9032778890214</v>
      </c>
      <c r="X48" s="55">
        <f>'SC2 Reduce LOS'!U48</f>
        <v>100238.64589044629</v>
      </c>
    </row>
    <row r="49" spans="1:24" x14ac:dyDescent="0.2">
      <c r="A49" s="53" t="s">
        <v>224</v>
      </c>
      <c r="B49" s="35" t="s">
        <v>315</v>
      </c>
      <c r="C49" s="35" t="s">
        <v>316</v>
      </c>
      <c r="D49" s="29" t="s">
        <v>271</v>
      </c>
      <c r="E49" s="31" t="s">
        <v>325</v>
      </c>
      <c r="F49" s="33">
        <v>0.96050000000000002</v>
      </c>
      <c r="G49" s="34">
        <v>2.8</v>
      </c>
      <c r="H49" s="27">
        <f>F49*Input!$C$15</f>
        <v>5885.5947800268796</v>
      </c>
      <c r="I49" s="27">
        <f>F49*Input!$C$13</f>
        <v>464.65147999999999</v>
      </c>
      <c r="J49" s="27">
        <f t="shared" si="10"/>
        <v>6350.2462600268791</v>
      </c>
      <c r="K49" s="30">
        <f>(Input!$C$21*'Master Table'!G49)+Input!$C$20</f>
        <v>6197.16</v>
      </c>
      <c r="L49" s="27">
        <f t="shared" si="7"/>
        <v>153.08626002687924</v>
      </c>
      <c r="M49" s="29">
        <f>VLOOKUP(A49,'Good Samaritan Hospital'!$G:$I,3,FALSE)</f>
        <v>18</v>
      </c>
      <c r="N49" s="55">
        <f t="shared" si="8"/>
        <v>2755.5526804838264</v>
      </c>
      <c r="O49" s="65">
        <f>'SC1 Admission Drop Scenario'!S49</f>
        <v>17</v>
      </c>
      <c r="P49" s="30">
        <f>'SC1 Admission Drop Scenario'!T49</f>
        <v>2602.4664204569472</v>
      </c>
      <c r="Q49" s="30">
        <f>Table1[[#This Row],[New Total Net Margin]]-Table1[[#This Row],[Total net Margin]]</f>
        <v>-153.08626002687924</v>
      </c>
      <c r="R49" s="66">
        <f>(Table1[[#This Row],[New Total Net Margin]]-Table1[[#This Row],[Total net Margin]])/Table1[[#This Row],[Total net Margin]]</f>
        <v>-5.5555555555555552E-2</v>
      </c>
      <c r="S49" s="64">
        <f>'SC2 Reduce LOS'!P49</f>
        <v>2.2999999999999998</v>
      </c>
      <c r="T49" s="30">
        <f>'SC2 Reduce LOS'!Q49</f>
        <v>5476.5599999999995</v>
      </c>
      <c r="U49" s="30">
        <f>(Table1[[#This Row],[Cost/ Discharge]]-Table1[[#This Row],[New Cost/Discharge]])*Table1[[#This Row],[Discharge Volume]]</f>
        <v>12970.800000000007</v>
      </c>
      <c r="V49" s="108">
        <f>'SC2 Reduce LOS'!S49</f>
        <v>-0.11627906976744193</v>
      </c>
      <c r="W49" s="30">
        <f>'SC2 Reduce LOS'!T49</f>
        <v>873.68626002687961</v>
      </c>
      <c r="X49" s="55">
        <f>'SC2 Reduce LOS'!U49</f>
        <v>15726.352680483833</v>
      </c>
    </row>
    <row r="50" spans="1:24" x14ac:dyDescent="0.2">
      <c r="A50" s="53" t="s">
        <v>216</v>
      </c>
      <c r="B50" s="35" t="s">
        <v>326</v>
      </c>
      <c r="C50" s="35" t="s">
        <v>327</v>
      </c>
      <c r="D50" s="29" t="s">
        <v>271</v>
      </c>
      <c r="E50" s="31" t="s">
        <v>328</v>
      </c>
      <c r="F50" s="33">
        <v>0.88180000000000003</v>
      </c>
      <c r="G50" s="34">
        <v>3.2</v>
      </c>
      <c r="H50" s="27">
        <f>F50*Input!$C$15</f>
        <v>5403.3497938862074</v>
      </c>
      <c r="I50" s="27">
        <f>F50*Input!$C$13</f>
        <v>426.57956799999999</v>
      </c>
      <c r="J50" s="27">
        <f t="shared" ref="J50:J52" si="11">H50+I50</f>
        <v>5829.9293618862075</v>
      </c>
      <c r="K50" s="30">
        <f>(Input!$C$21*'Master Table'!G50)+Input!$C$20</f>
        <v>6773.64</v>
      </c>
      <c r="L50" s="27">
        <f t="shared" si="7"/>
        <v>-943.71063811379281</v>
      </c>
      <c r="M50" s="29">
        <f>VLOOKUP(A50,'Good Samaritan Hospital'!$G:$I,3,FALSE)</f>
        <v>18</v>
      </c>
      <c r="N50" s="55">
        <f t="shared" si="8"/>
        <v>-16986.791486048271</v>
      </c>
      <c r="O50" s="65">
        <f>'SC1 Admission Drop Scenario'!S50</f>
        <v>17</v>
      </c>
      <c r="P50" s="30">
        <f>'SC1 Admission Drop Scenario'!T50</f>
        <v>-16043.080847934478</v>
      </c>
      <c r="Q50" s="30">
        <f>Table1[[#This Row],[New Total Net Margin]]-Table1[[#This Row],[Total net Margin]]</f>
        <v>943.71063811379281</v>
      </c>
      <c r="R50" s="66">
        <f>(Table1[[#This Row],[New Total Net Margin]]-Table1[[#This Row],[Total net Margin]])/Table1[[#This Row],[Total net Margin]]</f>
        <v>-5.5555555555555552E-2</v>
      </c>
      <c r="S50" s="64">
        <f>'SC2 Reduce LOS'!P50</f>
        <v>2.7</v>
      </c>
      <c r="T50" s="30">
        <f>'SC2 Reduce LOS'!Q50</f>
        <v>6053.0400000000009</v>
      </c>
      <c r="U50" s="30">
        <f>(Table1[[#This Row],[Cost/ Discharge]]-Table1[[#This Row],[New Cost/Discharge]])*Table1[[#This Row],[Discharge Volume]]</f>
        <v>12970.79999999999</v>
      </c>
      <c r="V50" s="108">
        <f>'SC2 Reduce LOS'!S50</f>
        <v>-0.10638297872340417</v>
      </c>
      <c r="W50" s="30">
        <f>'SC2 Reduce LOS'!T50</f>
        <v>-223.11063811379336</v>
      </c>
      <c r="X50" s="55">
        <f>'SC2 Reduce LOS'!U50</f>
        <v>-4015.9914860482804</v>
      </c>
    </row>
    <row r="51" spans="1:24" x14ac:dyDescent="0.2">
      <c r="A51" s="53" t="s">
        <v>242</v>
      </c>
      <c r="B51" s="35" t="s">
        <v>329</v>
      </c>
      <c r="C51" s="35" t="s">
        <v>330</v>
      </c>
      <c r="D51" s="29" t="s">
        <v>266</v>
      </c>
      <c r="E51" s="31" t="s">
        <v>331</v>
      </c>
      <c r="F51" s="33">
        <v>1.5549999999999999</v>
      </c>
      <c r="G51" s="34">
        <v>1.3</v>
      </c>
      <c r="H51" s="27">
        <f>F51*Input!$C$15</f>
        <v>9528.4746308607992</v>
      </c>
      <c r="I51" s="27">
        <f>F51*Input!$C$13</f>
        <v>752.24680000000001</v>
      </c>
      <c r="J51" s="27">
        <f t="shared" si="11"/>
        <v>10280.7214308608</v>
      </c>
      <c r="K51" s="30">
        <f>(Input!$C$21*'Master Table'!G51)+Input!$C$20</f>
        <v>4035.3600000000006</v>
      </c>
      <c r="L51" s="27">
        <f t="shared" si="7"/>
        <v>6245.3614308607994</v>
      </c>
      <c r="M51" s="29">
        <f>VLOOKUP(A51,'Good Samaritan Hospital'!$G:$I,3,FALSE)</f>
        <v>13</v>
      </c>
      <c r="N51" s="55">
        <f t="shared" si="8"/>
        <v>81189.698601190394</v>
      </c>
      <c r="O51" s="65">
        <f>'SC1 Admission Drop Scenario'!S51</f>
        <v>12</v>
      </c>
      <c r="P51" s="30">
        <f>'SC1 Admission Drop Scenario'!T51</f>
        <v>74944.337170329585</v>
      </c>
      <c r="Q51" s="30">
        <f>Table1[[#This Row],[New Total Net Margin]]-Table1[[#This Row],[Total net Margin]]</f>
        <v>-6245.3614308608085</v>
      </c>
      <c r="R51" s="66">
        <f>(Table1[[#This Row],[New Total Net Margin]]-Table1[[#This Row],[Total net Margin]])/Table1[[#This Row],[Total net Margin]]</f>
        <v>-7.6923076923077038E-2</v>
      </c>
      <c r="S51" s="64">
        <f>'SC2 Reduce LOS'!P51</f>
        <v>0.8</v>
      </c>
      <c r="T51" s="30">
        <f>'SC2 Reduce LOS'!Q51</f>
        <v>3314.76</v>
      </c>
      <c r="U51" s="30">
        <f>(Table1[[#This Row],[Cost/ Discharge]]-Table1[[#This Row],[New Cost/Discharge]])*Table1[[#This Row],[Discharge Volume]]</f>
        <v>9367.8000000000047</v>
      </c>
      <c r="V51" s="108">
        <f>'SC2 Reduce LOS'!S51</f>
        <v>-0.17857142857142863</v>
      </c>
      <c r="W51" s="30">
        <f>'SC2 Reduce LOS'!T51</f>
        <v>6965.9614308607997</v>
      </c>
      <c r="X51" s="55">
        <f>'SC2 Reduce LOS'!U51</f>
        <v>90557.498601190397</v>
      </c>
    </row>
    <row r="52" spans="1:24" x14ac:dyDescent="0.2">
      <c r="A52" s="53" t="s">
        <v>202</v>
      </c>
      <c r="B52" s="35" t="s">
        <v>329</v>
      </c>
      <c r="C52" s="35" t="s">
        <v>330</v>
      </c>
      <c r="D52" s="29" t="s">
        <v>271</v>
      </c>
      <c r="E52" s="31" t="s">
        <v>332</v>
      </c>
      <c r="F52" s="33">
        <v>1.3956999999999999</v>
      </c>
      <c r="G52" s="34">
        <v>3.9</v>
      </c>
      <c r="H52" s="27">
        <f>F52*Input!$C$15</f>
        <v>8552.3421493841906</v>
      </c>
      <c r="I52" s="27">
        <f>F52*Input!$C$13</f>
        <v>675.18383199999994</v>
      </c>
      <c r="J52" s="27">
        <f t="shared" si="11"/>
        <v>9227.5259813841913</v>
      </c>
      <c r="K52" s="30">
        <f>(Input!$C$21*'Master Table'!G52)+Input!$C$20</f>
        <v>7782.4800000000005</v>
      </c>
      <c r="L52" s="27">
        <f t="shared" si="7"/>
        <v>1445.0459813841908</v>
      </c>
      <c r="M52" s="29">
        <f>VLOOKUP(A52,'Good Samaritan Hospital'!$G:$I,3,FALSE)</f>
        <v>15</v>
      </c>
      <c r="N52" s="55">
        <f t="shared" si="8"/>
        <v>21675.689720762861</v>
      </c>
      <c r="O52" s="65">
        <f>'SC1 Admission Drop Scenario'!S52</f>
        <v>14</v>
      </c>
      <c r="P52" s="30">
        <f>'SC1 Admission Drop Scenario'!T52</f>
        <v>20230.643739378669</v>
      </c>
      <c r="Q52" s="30">
        <f>Table1[[#This Row],[New Total Net Margin]]-Table1[[#This Row],[Total net Margin]]</f>
        <v>-1445.0459813841917</v>
      </c>
      <c r="R52" s="66">
        <f>(Table1[[#This Row],[New Total Net Margin]]-Table1[[#This Row],[Total net Margin]])/Table1[[#This Row],[Total net Margin]]</f>
        <v>-6.6666666666666707E-2</v>
      </c>
      <c r="S52" s="64">
        <f>'SC2 Reduce LOS'!P52</f>
        <v>3.4</v>
      </c>
      <c r="T52" s="30">
        <f>'SC2 Reduce LOS'!Q52</f>
        <v>7061.88</v>
      </c>
      <c r="U52" s="30">
        <f>(Table1[[#This Row],[Cost/ Discharge]]-Table1[[#This Row],[New Cost/Discharge]])*Table1[[#This Row],[Discharge Volume]]</f>
        <v>10809.000000000005</v>
      </c>
      <c r="V52" s="108">
        <f>'SC2 Reduce LOS'!S52</f>
        <v>-9.2592592592592629E-2</v>
      </c>
      <c r="W52" s="30">
        <f>'SC2 Reduce LOS'!T52</f>
        <v>2165.6459813841911</v>
      </c>
      <c r="X52" s="55">
        <f>'SC2 Reduce LOS'!U52</f>
        <v>32484.689720762868</v>
      </c>
    </row>
    <row r="53" spans="1:24" x14ac:dyDescent="0.2">
      <c r="A53" s="53" t="s">
        <v>215</v>
      </c>
      <c r="B53" s="35" t="s">
        <v>329</v>
      </c>
      <c r="C53" s="35" t="s">
        <v>330</v>
      </c>
      <c r="D53" s="29" t="s">
        <v>271</v>
      </c>
      <c r="E53" s="31" t="s">
        <v>333</v>
      </c>
      <c r="F53" s="33">
        <v>1.2653000000000001</v>
      </c>
      <c r="G53" s="34">
        <v>3.4</v>
      </c>
      <c r="H53" s="27">
        <f>F53*Input!$C$15</f>
        <v>7753.2983604039682</v>
      </c>
      <c r="I53" s="27">
        <f>F53*Input!$C$13</f>
        <v>612.10152800000003</v>
      </c>
      <c r="J53" s="27">
        <f t="shared" ref="J53:J59" si="12">H53+I53</f>
        <v>8365.3998884039684</v>
      </c>
      <c r="K53" s="30">
        <f>(Input!$C$21*'Master Table'!G53)+Input!$C$20</f>
        <v>7061.88</v>
      </c>
      <c r="L53" s="27">
        <f t="shared" si="7"/>
        <v>1303.5198884039683</v>
      </c>
      <c r="M53" s="29">
        <f>VLOOKUP(A53,'Good Samaritan Hospital'!$G:$I,3,FALSE)</f>
        <v>22</v>
      </c>
      <c r="N53" s="55">
        <f t="shared" si="8"/>
        <v>28677.437544887303</v>
      </c>
      <c r="O53" s="65">
        <f>'SC1 Admission Drop Scenario'!S53</f>
        <v>20</v>
      </c>
      <c r="P53" s="30">
        <f>'SC1 Admission Drop Scenario'!T53</f>
        <v>26070.397768079365</v>
      </c>
      <c r="Q53" s="30">
        <f>Table1[[#This Row],[New Total Net Margin]]-Table1[[#This Row],[Total net Margin]]</f>
        <v>-2607.0397768079383</v>
      </c>
      <c r="R53" s="66">
        <f>(Table1[[#This Row],[New Total Net Margin]]-Table1[[#This Row],[Total net Margin]])/Table1[[#This Row],[Total net Margin]]</f>
        <v>-9.0909090909090967E-2</v>
      </c>
      <c r="S53" s="64">
        <f>'SC2 Reduce LOS'!P53</f>
        <v>2.9</v>
      </c>
      <c r="T53" s="30">
        <f>'SC2 Reduce LOS'!Q53</f>
        <v>6341.28</v>
      </c>
      <c r="U53" s="30">
        <f>(Table1[[#This Row],[Cost/ Discharge]]-Table1[[#This Row],[New Cost/Discharge]])*Table1[[#This Row],[Discharge Volume]]</f>
        <v>15853.200000000008</v>
      </c>
      <c r="V53" s="108">
        <f>'SC2 Reduce LOS'!S53</f>
        <v>-0.10204081632653066</v>
      </c>
      <c r="W53" s="30">
        <f>'SC2 Reduce LOS'!T53</f>
        <v>2024.1198884039686</v>
      </c>
      <c r="X53" s="55">
        <f>'SC2 Reduce LOS'!U53</f>
        <v>44530.637544887308</v>
      </c>
    </row>
    <row r="54" spans="1:24" x14ac:dyDescent="0.2">
      <c r="A54" s="53" t="s">
        <v>228</v>
      </c>
      <c r="B54" s="35" t="s">
        <v>329</v>
      </c>
      <c r="C54" s="35" t="s">
        <v>330</v>
      </c>
      <c r="D54" s="29" t="s">
        <v>271</v>
      </c>
      <c r="E54" s="31" t="s">
        <v>334</v>
      </c>
      <c r="F54" s="33">
        <v>0.7702</v>
      </c>
      <c r="G54" s="34">
        <v>2.6</v>
      </c>
      <c r="H54" s="27">
        <f>F54*Input!$C$15</f>
        <v>4719.5055695749115</v>
      </c>
      <c r="I54" s="27">
        <f>F54*Input!$C$13</f>
        <v>372.59195199999999</v>
      </c>
      <c r="J54" s="27">
        <f t="shared" si="12"/>
        <v>5092.0975215749113</v>
      </c>
      <c r="K54" s="30">
        <f>(Input!$C$21*'Master Table'!G54)+Input!$C$20</f>
        <v>5908.92</v>
      </c>
      <c r="L54" s="27">
        <f t="shared" si="7"/>
        <v>-816.82247842508878</v>
      </c>
      <c r="M54" s="29">
        <f>VLOOKUP(A54,'Good Samaritan Hospital'!$G:$I,3,FALSE)</f>
        <v>22</v>
      </c>
      <c r="N54" s="55">
        <f t="shared" si="8"/>
        <v>-17970.094525351953</v>
      </c>
      <c r="O54" s="65">
        <f>'SC1 Admission Drop Scenario'!S54</f>
        <v>20</v>
      </c>
      <c r="P54" s="30">
        <f>'SC1 Admission Drop Scenario'!T54</f>
        <v>-16336.449568501776</v>
      </c>
      <c r="Q54" s="30">
        <f>Table1[[#This Row],[New Total Net Margin]]-Table1[[#This Row],[Total net Margin]]</f>
        <v>1633.6449568501776</v>
      </c>
      <c r="R54" s="66">
        <f>(Table1[[#This Row],[New Total Net Margin]]-Table1[[#This Row],[Total net Margin]])/Table1[[#This Row],[Total net Margin]]</f>
        <v>-9.0909090909090912E-2</v>
      </c>
      <c r="S54" s="64">
        <f>'SC2 Reduce LOS'!P54</f>
        <v>2.1</v>
      </c>
      <c r="T54" s="30">
        <f>'SC2 Reduce LOS'!Q54</f>
        <v>5188.3200000000006</v>
      </c>
      <c r="U54" s="30">
        <f>(Table1[[#This Row],[Cost/ Discharge]]-Table1[[#This Row],[New Cost/Discharge]])*Table1[[#This Row],[Discharge Volume]]</f>
        <v>15853.199999999988</v>
      </c>
      <c r="V54" s="108">
        <f>'SC2 Reduce LOS'!S54</f>
        <v>-0.12195121951219502</v>
      </c>
      <c r="W54" s="30">
        <f>'SC2 Reduce LOS'!T54</f>
        <v>-96.222478425089321</v>
      </c>
      <c r="X54" s="55">
        <f>'SC2 Reduce LOS'!U54</f>
        <v>-2116.8945253519651</v>
      </c>
    </row>
    <row r="55" spans="1:24" x14ac:dyDescent="0.2">
      <c r="A55" s="53" t="s">
        <v>196</v>
      </c>
      <c r="B55" s="35" t="s">
        <v>335</v>
      </c>
      <c r="C55" s="35" t="s">
        <v>336</v>
      </c>
      <c r="D55" s="29" t="s">
        <v>271</v>
      </c>
      <c r="E55" s="31" t="s">
        <v>337</v>
      </c>
      <c r="F55" s="33">
        <v>1.4865999999999999</v>
      </c>
      <c r="G55" s="34">
        <v>4.3</v>
      </c>
      <c r="H55" s="27">
        <f>F55*Input!$C$15</f>
        <v>9109.3442998312948</v>
      </c>
      <c r="I55" s="27">
        <f>F55*Input!$C$13</f>
        <v>719.15761599999996</v>
      </c>
      <c r="J55" s="27">
        <f t="shared" si="12"/>
        <v>9828.5019158312953</v>
      </c>
      <c r="K55" s="30">
        <f>(Input!$C$21*'Master Table'!G55)+Input!$C$20</f>
        <v>8358.9599999999991</v>
      </c>
      <c r="L55" s="27">
        <f t="shared" si="7"/>
        <v>1469.5419158312961</v>
      </c>
      <c r="M55" s="29">
        <f>VLOOKUP(A55,'Good Samaritan Hospital'!$G:$I,3,FALSE)</f>
        <v>37</v>
      </c>
      <c r="N55" s="55">
        <f t="shared" si="8"/>
        <v>54373.050885757955</v>
      </c>
      <c r="O55" s="65">
        <f>'SC1 Admission Drop Scenario'!S55</f>
        <v>34</v>
      </c>
      <c r="P55" s="30">
        <f>'SC1 Admission Drop Scenario'!T55</f>
        <v>49964.425138264065</v>
      </c>
      <c r="Q55" s="30">
        <f>Table1[[#This Row],[New Total Net Margin]]-Table1[[#This Row],[Total net Margin]]</f>
        <v>-4408.6257474938902</v>
      </c>
      <c r="R55" s="66">
        <f>(Table1[[#This Row],[New Total Net Margin]]-Table1[[#This Row],[Total net Margin]])/Table1[[#This Row],[Total net Margin]]</f>
        <v>-8.1081081081081113E-2</v>
      </c>
      <c r="S55" s="64">
        <f>'SC2 Reduce LOS'!P55</f>
        <v>3.8</v>
      </c>
      <c r="T55" s="30">
        <f>'SC2 Reduce LOS'!Q55</f>
        <v>7638.36</v>
      </c>
      <c r="U55" s="30">
        <f>(Table1[[#This Row],[Cost/ Discharge]]-Table1[[#This Row],[New Cost/Discharge]])*Table1[[#This Row],[Discharge Volume]]</f>
        <v>26662.199999999979</v>
      </c>
      <c r="V55" s="108">
        <f>'SC2 Reduce LOS'!S55</f>
        <v>-8.6206896551724088E-2</v>
      </c>
      <c r="W55" s="30">
        <f>'SC2 Reduce LOS'!T55</f>
        <v>2190.1419158312956</v>
      </c>
      <c r="X55" s="55">
        <f>'SC2 Reduce LOS'!U55</f>
        <v>81035.250885757938</v>
      </c>
    </row>
    <row r="56" spans="1:24" x14ac:dyDescent="0.2">
      <c r="A56" s="53" t="s">
        <v>217</v>
      </c>
      <c r="B56" s="35" t="s">
        <v>335</v>
      </c>
      <c r="C56" s="35" t="s">
        <v>336</v>
      </c>
      <c r="D56" s="29" t="s">
        <v>271</v>
      </c>
      <c r="E56" s="31" t="s">
        <v>338</v>
      </c>
      <c r="F56" s="33">
        <v>0.89490000000000003</v>
      </c>
      <c r="G56" s="34">
        <v>3.1</v>
      </c>
      <c r="H56" s="27">
        <f>F56*Input!$C$15</f>
        <v>5483.621830969344</v>
      </c>
      <c r="I56" s="27">
        <f>F56*Input!$C$13</f>
        <v>432.91682400000002</v>
      </c>
      <c r="J56" s="27">
        <f t="shared" si="12"/>
        <v>5916.538654969344</v>
      </c>
      <c r="K56" s="30">
        <f>(Input!$C$21*'Master Table'!G56)+Input!$C$20</f>
        <v>6629.52</v>
      </c>
      <c r="L56" s="27">
        <f t="shared" si="7"/>
        <v>-712.98134503065648</v>
      </c>
      <c r="M56" s="29">
        <f>VLOOKUP(A56,'Good Samaritan Hospital'!$G:$I,3,FALSE)</f>
        <v>36</v>
      </c>
      <c r="N56" s="55">
        <f t="shared" si="8"/>
        <v>-25667.328421103633</v>
      </c>
      <c r="O56" s="65">
        <f>'SC1 Admission Drop Scenario'!S56</f>
        <v>33</v>
      </c>
      <c r="P56" s="30">
        <f>'SC1 Admission Drop Scenario'!T56</f>
        <v>-23528.384386011665</v>
      </c>
      <c r="Q56" s="30">
        <f>Table1[[#This Row],[New Total Net Margin]]-Table1[[#This Row],[Total net Margin]]</f>
        <v>2138.9440350919685</v>
      </c>
      <c r="R56" s="66">
        <f>(Table1[[#This Row],[New Total Net Margin]]-Table1[[#This Row],[Total net Margin]])/Table1[[#This Row],[Total net Margin]]</f>
        <v>-8.3333333333333301E-2</v>
      </c>
      <c r="S56" s="64">
        <f>'SC2 Reduce LOS'!P56</f>
        <v>2.6</v>
      </c>
      <c r="T56" s="30">
        <f>'SC2 Reduce LOS'!Q56</f>
        <v>5908.92</v>
      </c>
      <c r="U56" s="30">
        <f>(Table1[[#This Row],[Cost/ Discharge]]-Table1[[#This Row],[New Cost/Discharge]])*Table1[[#This Row],[Discharge Volume]]</f>
        <v>25941.600000000013</v>
      </c>
      <c r="V56" s="108">
        <f>'SC2 Reduce LOS'!S56</f>
        <v>-0.1086956521739131</v>
      </c>
      <c r="W56" s="30">
        <f>'SC2 Reduce LOS'!T56</f>
        <v>7.6186549693438792</v>
      </c>
      <c r="X56" s="55">
        <f>'SC2 Reduce LOS'!U56</f>
        <v>274.27157889637965</v>
      </c>
    </row>
    <row r="57" spans="1:24" x14ac:dyDescent="0.2">
      <c r="A57" s="53" t="s">
        <v>203</v>
      </c>
      <c r="B57" s="35" t="s">
        <v>335</v>
      </c>
      <c r="C57" s="35" t="s">
        <v>336</v>
      </c>
      <c r="D57" s="29" t="s">
        <v>271</v>
      </c>
      <c r="E57" s="31" t="s">
        <v>339</v>
      </c>
      <c r="F57" s="33">
        <v>1.1471</v>
      </c>
      <c r="G57" s="34">
        <v>3.8</v>
      </c>
      <c r="H57" s="27">
        <f>F57*Input!$C$15</f>
        <v>7029.0117357301751</v>
      </c>
      <c r="I57" s="27">
        <f>F57*Input!$C$13</f>
        <v>554.92109600000003</v>
      </c>
      <c r="J57" s="27">
        <f t="shared" si="12"/>
        <v>7583.9328317301752</v>
      </c>
      <c r="K57" s="30">
        <f>(Input!$C$21*'Master Table'!G57)+Input!$C$20</f>
        <v>7638.36</v>
      </c>
      <c r="L57" s="27">
        <f t="shared" si="7"/>
        <v>-54.427168269824506</v>
      </c>
      <c r="M57" s="29">
        <f>VLOOKUP(A57,'Good Samaritan Hospital'!$G:$I,3,FALSE)</f>
        <v>36</v>
      </c>
      <c r="N57" s="55">
        <f t="shared" si="8"/>
        <v>-1959.3780577136822</v>
      </c>
      <c r="O57" s="65">
        <f>'SC1 Admission Drop Scenario'!S57</f>
        <v>33</v>
      </c>
      <c r="P57" s="30">
        <f>'SC1 Admission Drop Scenario'!T57</f>
        <v>-1796.0965529042087</v>
      </c>
      <c r="Q57" s="30">
        <f>Table1[[#This Row],[New Total Net Margin]]-Table1[[#This Row],[Total net Margin]]</f>
        <v>163.28150480947352</v>
      </c>
      <c r="R57" s="66">
        <f>(Table1[[#This Row],[New Total Net Margin]]-Table1[[#This Row],[Total net Margin]])/Table1[[#This Row],[Total net Margin]]</f>
        <v>-8.3333333333333329E-2</v>
      </c>
      <c r="S57" s="64">
        <f>'SC2 Reduce LOS'!P57</f>
        <v>3.3</v>
      </c>
      <c r="T57" s="30">
        <f>'SC2 Reduce LOS'!Q57</f>
        <v>6917.76</v>
      </c>
      <c r="U57" s="30">
        <f>(Table1[[#This Row],[Cost/ Discharge]]-Table1[[#This Row],[New Cost/Discharge]])*Table1[[#This Row],[Discharge Volume]]</f>
        <v>25941.59999999998</v>
      </c>
      <c r="V57" s="108">
        <f>'SC2 Reduce LOS'!S57</f>
        <v>-9.4339622641509371E-2</v>
      </c>
      <c r="W57" s="30">
        <f>'SC2 Reduce LOS'!T57</f>
        <v>666.17283173017495</v>
      </c>
      <c r="X57" s="55">
        <f>'SC2 Reduce LOS'!U57</f>
        <v>23982.221942286298</v>
      </c>
    </row>
    <row r="58" spans="1:24" x14ac:dyDescent="0.2">
      <c r="A58" s="53" t="s">
        <v>223</v>
      </c>
      <c r="B58" s="35" t="s">
        <v>335</v>
      </c>
      <c r="C58" s="35" t="s">
        <v>336</v>
      </c>
      <c r="D58" s="29" t="s">
        <v>271</v>
      </c>
      <c r="E58" s="31" t="s">
        <v>340</v>
      </c>
      <c r="F58" s="33">
        <v>0.79559999999999997</v>
      </c>
      <c r="G58" s="34">
        <v>2.8</v>
      </c>
      <c r="H58" s="27">
        <f>F58*Input!$C$15</f>
        <v>4875.1475346063353</v>
      </c>
      <c r="I58" s="27">
        <f>F58*Input!$C$13</f>
        <v>384.879456</v>
      </c>
      <c r="J58" s="27">
        <f t="shared" si="12"/>
        <v>5260.0269906063349</v>
      </c>
      <c r="K58" s="30">
        <f>(Input!$C$21*'Master Table'!G58)+Input!$C$20</f>
        <v>6197.16</v>
      </c>
      <c r="L58" s="27">
        <f t="shared" si="7"/>
        <v>-937.13300939366491</v>
      </c>
      <c r="M58" s="29">
        <f>VLOOKUP(A58,'Good Samaritan Hospital'!$G:$I,3,FALSE)</f>
        <v>22</v>
      </c>
      <c r="N58" s="55">
        <f t="shared" si="8"/>
        <v>-20616.926206660628</v>
      </c>
      <c r="O58" s="65">
        <f>'SC1 Admission Drop Scenario'!S58</f>
        <v>20</v>
      </c>
      <c r="P58" s="30">
        <f>'SC1 Admission Drop Scenario'!T58</f>
        <v>-18742.660187873298</v>
      </c>
      <c r="Q58" s="30">
        <f>Table1[[#This Row],[New Total Net Margin]]-Table1[[#This Row],[Total net Margin]]</f>
        <v>1874.2660187873298</v>
      </c>
      <c r="R58" s="66">
        <f>(Table1[[#This Row],[New Total Net Margin]]-Table1[[#This Row],[Total net Margin]])/Table1[[#This Row],[Total net Margin]]</f>
        <v>-9.0909090909090912E-2</v>
      </c>
      <c r="S58" s="64">
        <f>'SC2 Reduce LOS'!P58</f>
        <v>2.2999999999999998</v>
      </c>
      <c r="T58" s="30">
        <f>'SC2 Reduce LOS'!Q58</f>
        <v>5476.5599999999995</v>
      </c>
      <c r="U58" s="30">
        <f>(Table1[[#This Row],[Cost/ Discharge]]-Table1[[#This Row],[New Cost/Discharge]])*Table1[[#This Row],[Discharge Volume]]</f>
        <v>15853.200000000008</v>
      </c>
      <c r="V58" s="108">
        <f>'SC2 Reduce LOS'!S58</f>
        <v>-0.11627906976744193</v>
      </c>
      <c r="W58" s="30">
        <f>'SC2 Reduce LOS'!T58</f>
        <v>-216.53300939366454</v>
      </c>
      <c r="X58" s="55">
        <f>'SC2 Reduce LOS'!U58</f>
        <v>-4763.7262066606199</v>
      </c>
    </row>
    <row r="59" spans="1:24" x14ac:dyDescent="0.2">
      <c r="A59" s="53" t="s">
        <v>189</v>
      </c>
      <c r="B59" s="35" t="s">
        <v>335</v>
      </c>
      <c r="C59" s="35" t="s">
        <v>336</v>
      </c>
      <c r="D59" s="29" t="s">
        <v>271</v>
      </c>
      <c r="E59" s="31" t="s">
        <v>341</v>
      </c>
      <c r="F59" s="33">
        <v>1.6025</v>
      </c>
      <c r="G59" s="34">
        <v>4.8</v>
      </c>
      <c r="H59" s="27">
        <f>F59*Input!$C$15</f>
        <v>9819.537360742399</v>
      </c>
      <c r="I59" s="27">
        <f>F59*Input!$C$13</f>
        <v>775.22540000000004</v>
      </c>
      <c r="J59" s="27">
        <f t="shared" si="12"/>
        <v>10594.762760742398</v>
      </c>
      <c r="K59" s="30">
        <f>(Input!$C$21*'Master Table'!G59)+Input!$C$20</f>
        <v>9079.5600000000013</v>
      </c>
      <c r="L59" s="27">
        <f t="shared" si="7"/>
        <v>1515.202760742397</v>
      </c>
      <c r="M59" s="29">
        <f>VLOOKUP(A59,'Good Samaritan Hospital'!$G:$I,3,FALSE)</f>
        <v>16</v>
      </c>
      <c r="N59" s="55">
        <f t="shared" si="8"/>
        <v>24243.244171878352</v>
      </c>
      <c r="O59" s="65">
        <f>'SC1 Admission Drop Scenario'!S59</f>
        <v>15</v>
      </c>
      <c r="P59" s="30">
        <f>'SC1 Admission Drop Scenario'!T59</f>
        <v>22728.041411135957</v>
      </c>
      <c r="Q59" s="30">
        <f>Table1[[#This Row],[New Total Net Margin]]-Table1[[#This Row],[Total net Margin]]</f>
        <v>-1515.2027607423952</v>
      </c>
      <c r="R59" s="66">
        <f>(Table1[[#This Row],[New Total Net Margin]]-Table1[[#This Row],[Total net Margin]])/Table1[[#This Row],[Total net Margin]]</f>
        <v>-6.2499999999999924E-2</v>
      </c>
      <c r="S59" s="64">
        <f>'SC2 Reduce LOS'!P59</f>
        <v>4.3</v>
      </c>
      <c r="T59" s="30">
        <f>'SC2 Reduce LOS'!Q59</f>
        <v>8358.9599999999991</v>
      </c>
      <c r="U59" s="30">
        <f>(Table1[[#This Row],[Cost/ Discharge]]-Table1[[#This Row],[New Cost/Discharge]])*Table1[[#This Row],[Discharge Volume]]</f>
        <v>11529.600000000035</v>
      </c>
      <c r="V59" s="108">
        <f>'SC2 Reduce LOS'!S59</f>
        <v>-7.9365079365079597E-2</v>
      </c>
      <c r="W59" s="30">
        <f>'SC2 Reduce LOS'!T59</f>
        <v>2235.8027607423992</v>
      </c>
      <c r="X59" s="55">
        <f>'SC2 Reduce LOS'!U59</f>
        <v>35772.844171878387</v>
      </c>
    </row>
    <row r="60" spans="1:24" x14ac:dyDescent="0.2">
      <c r="A60" s="53" t="s">
        <v>225</v>
      </c>
      <c r="B60" s="35" t="s">
        <v>342</v>
      </c>
      <c r="C60" s="35" t="s">
        <v>343</v>
      </c>
      <c r="D60" s="29" t="s">
        <v>271</v>
      </c>
      <c r="E60" s="31" t="s">
        <v>344</v>
      </c>
      <c r="F60" s="33">
        <v>0.89800000000000002</v>
      </c>
      <c r="G60" s="34">
        <v>2.7</v>
      </c>
      <c r="H60" s="27">
        <f>F60*Input!$C$15</f>
        <v>5502.6175038668798</v>
      </c>
      <c r="I60" s="27">
        <f>F60*Input!$C$13</f>
        <v>434.41647999999998</v>
      </c>
      <c r="J60" s="27">
        <f t="shared" ref="J60:J64" si="13">H60+I60</f>
        <v>5937.0339838668797</v>
      </c>
      <c r="K60" s="30">
        <f>(Input!$C$21*'Master Table'!G60)+Input!$C$20</f>
        <v>6053.0400000000009</v>
      </c>
      <c r="L60" s="27">
        <f t="shared" si="7"/>
        <v>-116.00601613312119</v>
      </c>
      <c r="M60" s="29">
        <f>VLOOKUP(A60,'Good Samaritan Hospital'!$G:$I,3,FALSE)</f>
        <v>13</v>
      </c>
      <c r="N60" s="55">
        <f t="shared" si="8"/>
        <v>-1508.0782097305755</v>
      </c>
      <c r="O60" s="65">
        <f>'SC1 Admission Drop Scenario'!S60</f>
        <v>12</v>
      </c>
      <c r="P60" s="30">
        <f>'SC1 Admission Drop Scenario'!T60</f>
        <v>-1392.0721935974543</v>
      </c>
      <c r="Q60" s="30">
        <f>Table1[[#This Row],[New Total Net Margin]]-Table1[[#This Row],[Total net Margin]]</f>
        <v>116.00601613312119</v>
      </c>
      <c r="R60" s="66">
        <f>(Table1[[#This Row],[New Total Net Margin]]-Table1[[#This Row],[Total net Margin]])/Table1[[#This Row],[Total net Margin]]</f>
        <v>-7.6923076923076927E-2</v>
      </c>
      <c r="S60" s="64">
        <f>'SC2 Reduce LOS'!P60</f>
        <v>2.2000000000000002</v>
      </c>
      <c r="T60" s="30">
        <f>'SC2 Reduce LOS'!Q60</f>
        <v>5332.4400000000005</v>
      </c>
      <c r="U60" s="30">
        <f>(Table1[[#This Row],[Cost/ Discharge]]-Table1[[#This Row],[New Cost/Discharge]])*Table1[[#This Row],[Discharge Volume]]</f>
        <v>9367.8000000000047</v>
      </c>
      <c r="V60" s="108">
        <f>'SC2 Reduce LOS'!S60</f>
        <v>-0.1190476190476191</v>
      </c>
      <c r="W60" s="30">
        <f>'SC2 Reduce LOS'!T60</f>
        <v>604.59398386687917</v>
      </c>
      <c r="X60" s="55">
        <f>'SC2 Reduce LOS'!U60</f>
        <v>7859.7217902694292</v>
      </c>
    </row>
    <row r="61" spans="1:24" x14ac:dyDescent="0.2">
      <c r="A61" s="53" t="s">
        <v>208</v>
      </c>
      <c r="B61" s="35" t="s">
        <v>345</v>
      </c>
      <c r="C61" s="35" t="s">
        <v>346</v>
      </c>
      <c r="D61" s="29" t="s">
        <v>271</v>
      </c>
      <c r="E61" s="31" t="s">
        <v>347</v>
      </c>
      <c r="F61" s="33">
        <v>1.2181</v>
      </c>
      <c r="G61" s="34">
        <v>3.6</v>
      </c>
      <c r="H61" s="27">
        <f>F61*Input!$C$15</f>
        <v>7464.0739214479354</v>
      </c>
      <c r="I61" s="27">
        <f>F61*Input!$C$13</f>
        <v>589.268056</v>
      </c>
      <c r="J61" s="27">
        <f t="shared" si="13"/>
        <v>8053.3419774479353</v>
      </c>
      <c r="K61" s="30">
        <f>(Input!$C$21*'Master Table'!G61)+Input!$C$20</f>
        <v>7350.1200000000008</v>
      </c>
      <c r="L61" s="27">
        <f t="shared" si="7"/>
        <v>703.22197744793448</v>
      </c>
      <c r="M61" s="29">
        <f>VLOOKUP(A61,'Good Samaritan Hospital'!$G:$I,3,FALSE)</f>
        <v>11</v>
      </c>
      <c r="N61" s="55">
        <f t="shared" si="8"/>
        <v>7735.4417519272793</v>
      </c>
      <c r="O61" s="65">
        <f>'SC1 Admission Drop Scenario'!S61</f>
        <v>10</v>
      </c>
      <c r="P61" s="30">
        <f>'SC1 Admission Drop Scenario'!T61</f>
        <v>7032.2197744793448</v>
      </c>
      <c r="Q61" s="30">
        <f>Table1[[#This Row],[New Total Net Margin]]-Table1[[#This Row],[Total net Margin]]</f>
        <v>-703.22197744793448</v>
      </c>
      <c r="R61" s="66">
        <f>(Table1[[#This Row],[New Total Net Margin]]-Table1[[#This Row],[Total net Margin]])/Table1[[#This Row],[Total net Margin]]</f>
        <v>-9.0909090909090912E-2</v>
      </c>
      <c r="S61" s="64">
        <f>'SC2 Reduce LOS'!P61</f>
        <v>3.1</v>
      </c>
      <c r="T61" s="30">
        <f>'SC2 Reduce LOS'!Q61</f>
        <v>6629.52</v>
      </c>
      <c r="U61" s="30">
        <f>(Table1[[#This Row],[Cost/ Discharge]]-Table1[[#This Row],[New Cost/Discharge]])*Table1[[#This Row],[Discharge Volume]]</f>
        <v>7926.600000000004</v>
      </c>
      <c r="V61" s="108">
        <f>'SC2 Reduce LOS'!S61</f>
        <v>-9.803921568627455E-2</v>
      </c>
      <c r="W61" s="30">
        <f>'SC2 Reduce LOS'!T61</f>
        <v>1423.8219774479348</v>
      </c>
      <c r="X61" s="55">
        <f>'SC2 Reduce LOS'!U61</f>
        <v>15662.041751927283</v>
      </c>
    </row>
    <row r="62" spans="1:24" x14ac:dyDescent="0.2">
      <c r="A62" s="53" t="s">
        <v>179</v>
      </c>
      <c r="B62" s="35" t="s">
        <v>348</v>
      </c>
      <c r="C62" s="35" t="s">
        <v>349</v>
      </c>
      <c r="D62" s="29" t="s">
        <v>266</v>
      </c>
      <c r="E62" s="31" t="s">
        <v>350</v>
      </c>
      <c r="F62" s="33">
        <v>4.9009999999999998</v>
      </c>
      <c r="G62" s="34">
        <v>9.6</v>
      </c>
      <c r="H62" s="27">
        <f>F62*Input!$C$15</f>
        <v>30031.546087362556</v>
      </c>
      <c r="I62" s="27">
        <f>F62*Input!$C$13</f>
        <v>2370.9077600000001</v>
      </c>
      <c r="J62" s="27">
        <f t="shared" si="13"/>
        <v>32402.453847362558</v>
      </c>
      <c r="K62" s="30">
        <f>(Input!$C$21*'Master Table'!G62)+Input!$C$20</f>
        <v>15997.32</v>
      </c>
      <c r="L62" s="27">
        <f t="shared" si="7"/>
        <v>16405.133847362558</v>
      </c>
      <c r="M62" s="29">
        <f>VLOOKUP(A62,'Good Samaritan Hospital'!$G:$I,3,FALSE)</f>
        <v>33</v>
      </c>
      <c r="N62" s="55">
        <f t="shared" si="8"/>
        <v>541369.41696296446</v>
      </c>
      <c r="O62" s="65">
        <f>'SC1 Admission Drop Scenario'!S62</f>
        <v>30</v>
      </c>
      <c r="P62" s="30">
        <f>'SC1 Admission Drop Scenario'!T62</f>
        <v>492154.01542087673</v>
      </c>
      <c r="Q62" s="30">
        <f>Table1[[#This Row],[New Total Net Margin]]-Table1[[#This Row],[Total net Margin]]</f>
        <v>-49215.401542087726</v>
      </c>
      <c r="R62" s="66">
        <f>(Table1[[#This Row],[New Total Net Margin]]-Table1[[#This Row],[Total net Margin]])/Table1[[#This Row],[Total net Margin]]</f>
        <v>-9.0909090909090995E-2</v>
      </c>
      <c r="S62" s="64">
        <f>'SC2 Reduce LOS'!P62</f>
        <v>9.1</v>
      </c>
      <c r="T62" s="30">
        <f>'SC2 Reduce LOS'!Q62</f>
        <v>15276.720000000001</v>
      </c>
      <c r="U62" s="30">
        <f>(Table1[[#This Row],[Cost/ Discharge]]-Table1[[#This Row],[New Cost/Discharge]])*Table1[[#This Row],[Discharge Volume]]</f>
        <v>23779.799999999952</v>
      </c>
      <c r="V62" s="108">
        <f>'SC2 Reduce LOS'!S62</f>
        <v>-4.5045045045044953E-2</v>
      </c>
      <c r="W62" s="30">
        <f>'SC2 Reduce LOS'!T62</f>
        <v>17125.733847362557</v>
      </c>
      <c r="X62" s="55">
        <f>'SC2 Reduce LOS'!U62</f>
        <v>565149.21696296439</v>
      </c>
    </row>
    <row r="63" spans="1:24" x14ac:dyDescent="0.2">
      <c r="A63" s="53" t="s">
        <v>187</v>
      </c>
      <c r="B63" s="35" t="s">
        <v>348</v>
      </c>
      <c r="C63" s="35" t="s">
        <v>349</v>
      </c>
      <c r="D63" s="29" t="s">
        <v>271</v>
      </c>
      <c r="E63" s="31" t="s">
        <v>351</v>
      </c>
      <c r="F63" s="33">
        <v>1.9572000000000001</v>
      </c>
      <c r="G63" s="34">
        <v>5</v>
      </c>
      <c r="H63" s="27">
        <f>F63*Input!$C$15</f>
        <v>11993.009998405632</v>
      </c>
      <c r="I63" s="27">
        <f>F63*Input!$C$13</f>
        <v>946.81507199999999</v>
      </c>
      <c r="J63" s="27">
        <f t="shared" si="13"/>
        <v>12939.825070405632</v>
      </c>
      <c r="K63" s="30">
        <f>(Input!$C$21*'Master Table'!G63)+Input!$C$20</f>
        <v>9367.7999999999993</v>
      </c>
      <c r="L63" s="27">
        <f t="shared" si="7"/>
        <v>3572.0250704056325</v>
      </c>
      <c r="M63" s="29">
        <f>VLOOKUP(A63,'Good Samaritan Hospital'!$G:$I,3,FALSE)</f>
        <v>215</v>
      </c>
      <c r="N63" s="55">
        <f t="shared" si="8"/>
        <v>767985.39013721095</v>
      </c>
      <c r="O63" s="65">
        <f>'SC1 Admission Drop Scenario'!S63</f>
        <v>198</v>
      </c>
      <c r="P63" s="30">
        <f>'SC1 Admission Drop Scenario'!T63</f>
        <v>707260.96394031518</v>
      </c>
      <c r="Q63" s="30">
        <f>Table1[[#This Row],[New Total Net Margin]]-Table1[[#This Row],[Total net Margin]]</f>
        <v>-60724.426196895773</v>
      </c>
      <c r="R63" s="66">
        <f>(Table1[[#This Row],[New Total Net Margin]]-Table1[[#This Row],[Total net Margin]])/Table1[[#This Row],[Total net Margin]]</f>
        <v>-7.9069767441860492E-2</v>
      </c>
      <c r="S63" s="64">
        <f>'SC2 Reduce LOS'!P63</f>
        <v>4.5</v>
      </c>
      <c r="T63" s="30">
        <f>'SC2 Reduce LOS'!Q63</f>
        <v>8647.2000000000007</v>
      </c>
      <c r="U63" s="30">
        <f>(Table1[[#This Row],[Cost/ Discharge]]-Table1[[#This Row],[New Cost/Discharge]])*Table1[[#This Row],[Discharge Volume]]</f>
        <v>154928.99999999968</v>
      </c>
      <c r="V63" s="108">
        <f>'SC2 Reduce LOS'!S63</f>
        <v>-7.6923076923076775E-2</v>
      </c>
      <c r="W63" s="30">
        <f>'SC2 Reduce LOS'!T63</f>
        <v>4292.625070405631</v>
      </c>
      <c r="X63" s="55">
        <f>'SC2 Reduce LOS'!U63</f>
        <v>922914.39013721072</v>
      </c>
    </row>
    <row r="64" spans="1:24" x14ac:dyDescent="0.2">
      <c r="A64" s="53" t="s">
        <v>210</v>
      </c>
      <c r="B64" s="35" t="s">
        <v>348</v>
      </c>
      <c r="C64" s="35" t="s">
        <v>349</v>
      </c>
      <c r="D64" s="29" t="s">
        <v>271</v>
      </c>
      <c r="E64" s="31" t="s">
        <v>352</v>
      </c>
      <c r="F64" s="33">
        <v>1.028</v>
      </c>
      <c r="G64" s="34">
        <v>3.5</v>
      </c>
      <c r="H64" s="27">
        <f>F64*Input!$C$15</f>
        <v>6299.2102382796793</v>
      </c>
      <c r="I64" s="27">
        <f>F64*Input!$C$13</f>
        <v>497.30527999999998</v>
      </c>
      <c r="J64" s="27">
        <f t="shared" si="13"/>
        <v>6796.5155182796789</v>
      </c>
      <c r="K64" s="30">
        <f>(Input!$C$21*'Master Table'!G64)+Input!$C$20</f>
        <v>7206</v>
      </c>
      <c r="L64" s="27">
        <f t="shared" si="7"/>
        <v>-409.48448172032113</v>
      </c>
      <c r="M64" s="29">
        <f>VLOOKUP(A64,'Good Samaritan Hospital'!$G:$I,3,FALSE)</f>
        <v>42</v>
      </c>
      <c r="N64" s="55">
        <f t="shared" si="8"/>
        <v>-17198.348232253487</v>
      </c>
      <c r="O64" s="65">
        <f>'SC1 Admission Drop Scenario'!S64</f>
        <v>39</v>
      </c>
      <c r="P64" s="30">
        <f>'SC1 Admission Drop Scenario'!T64</f>
        <v>-15969.894787092524</v>
      </c>
      <c r="Q64" s="30">
        <f>Table1[[#This Row],[New Total Net Margin]]-Table1[[#This Row],[Total net Margin]]</f>
        <v>1228.4534451609634</v>
      </c>
      <c r="R64" s="66">
        <f>(Table1[[#This Row],[New Total Net Margin]]-Table1[[#This Row],[Total net Margin]])/Table1[[#This Row],[Total net Margin]]</f>
        <v>-7.1428571428571425E-2</v>
      </c>
      <c r="S64" s="64">
        <f>'SC2 Reduce LOS'!P64</f>
        <v>3</v>
      </c>
      <c r="T64" s="30">
        <f>'SC2 Reduce LOS'!Q64</f>
        <v>6485.4000000000005</v>
      </c>
      <c r="U64" s="30">
        <f>(Table1[[#This Row],[Cost/ Discharge]]-Table1[[#This Row],[New Cost/Discharge]])*Table1[[#This Row],[Discharge Volume]]</f>
        <v>30265.199999999975</v>
      </c>
      <c r="V64" s="108">
        <f>'SC2 Reduce LOS'!S64</f>
        <v>-9.9999999999999922E-2</v>
      </c>
      <c r="W64" s="30">
        <f>'SC2 Reduce LOS'!T64</f>
        <v>311.11551827967833</v>
      </c>
      <c r="X64" s="55">
        <f>'SC2 Reduce LOS'!U64</f>
        <v>13066.85176774649</v>
      </c>
    </row>
    <row r="65" spans="1:24" x14ac:dyDescent="0.2">
      <c r="A65" s="53" t="s">
        <v>209</v>
      </c>
      <c r="B65" s="35" t="s">
        <v>353</v>
      </c>
      <c r="C65" s="35" t="s">
        <v>354</v>
      </c>
      <c r="D65" s="29" t="s">
        <v>271</v>
      </c>
      <c r="E65" s="31" t="s">
        <v>355</v>
      </c>
      <c r="F65" s="33">
        <v>1.5225</v>
      </c>
      <c r="G65" s="34">
        <v>3.6</v>
      </c>
      <c r="H65" s="27">
        <f>F65*Input!$C$15</f>
        <v>9329.3264472575993</v>
      </c>
      <c r="I65" s="27">
        <f>F65*Input!$C$13</f>
        <v>736.52459999999996</v>
      </c>
      <c r="J65" s="27">
        <f t="shared" ref="J65:J66" si="14">H65+I65</f>
        <v>10065.8510472576</v>
      </c>
      <c r="K65" s="30">
        <f>(Input!$C$21*'Master Table'!G65)+Input!$C$20</f>
        <v>7350.1200000000008</v>
      </c>
      <c r="L65" s="27">
        <f t="shared" si="7"/>
        <v>2715.7310472575991</v>
      </c>
      <c r="M65" s="29">
        <f>VLOOKUP(A65,'Good Samaritan Hospital'!$G:$I,3,FALSE)</f>
        <v>12</v>
      </c>
      <c r="N65" s="55">
        <f t="shared" si="8"/>
        <v>32588.77256709119</v>
      </c>
      <c r="O65" s="65">
        <f>'SC1 Admission Drop Scenario'!S65</f>
        <v>11</v>
      </c>
      <c r="P65" s="30">
        <f>'SC1 Admission Drop Scenario'!T65</f>
        <v>29873.04151983359</v>
      </c>
      <c r="Q65" s="30">
        <f>Table1[[#This Row],[New Total Net Margin]]-Table1[[#This Row],[Total net Margin]]</f>
        <v>-2715.7310472575991</v>
      </c>
      <c r="R65" s="66">
        <f>(Table1[[#This Row],[New Total Net Margin]]-Table1[[#This Row],[Total net Margin]])/Table1[[#This Row],[Total net Margin]]</f>
        <v>-8.3333333333333329E-2</v>
      </c>
      <c r="S65" s="64">
        <f>'SC2 Reduce LOS'!P65</f>
        <v>3.1</v>
      </c>
      <c r="T65" s="30">
        <f>'SC2 Reduce LOS'!Q65</f>
        <v>6629.52</v>
      </c>
      <c r="U65" s="30">
        <f>(Table1[[#This Row],[Cost/ Discharge]]-Table1[[#This Row],[New Cost/Discharge]])*Table1[[#This Row],[Discharge Volume]]</f>
        <v>8647.2000000000044</v>
      </c>
      <c r="V65" s="108">
        <f>'SC2 Reduce LOS'!S65</f>
        <v>-9.803921568627455E-2</v>
      </c>
      <c r="W65" s="30">
        <f>'SC2 Reduce LOS'!T65</f>
        <v>3436.3310472575995</v>
      </c>
      <c r="X65" s="55">
        <f>'SC2 Reduce LOS'!U65</f>
        <v>41235.972567091194</v>
      </c>
    </row>
    <row r="66" spans="1:24" x14ac:dyDescent="0.2">
      <c r="A66" s="53" t="s">
        <v>229</v>
      </c>
      <c r="B66" s="35" t="s">
        <v>356</v>
      </c>
      <c r="C66" s="35" t="s">
        <v>357</v>
      </c>
      <c r="D66" s="29" t="s">
        <v>271</v>
      </c>
      <c r="E66" s="31" t="s">
        <v>358</v>
      </c>
      <c r="F66" s="33">
        <v>0.77759999999999996</v>
      </c>
      <c r="G66" s="34">
        <v>2.5</v>
      </c>
      <c r="H66" s="27">
        <f>F66*Input!$C$15</f>
        <v>4764.8500790722555</v>
      </c>
      <c r="I66" s="27">
        <f>F66*Input!$C$13</f>
        <v>376.17177599999997</v>
      </c>
      <c r="J66" s="27">
        <f t="shared" si="14"/>
        <v>5141.0218550722557</v>
      </c>
      <c r="K66" s="30">
        <f>(Input!$C$21*'Master Table'!G66)+Input!$C$20</f>
        <v>5764.8</v>
      </c>
      <c r="L66" s="27">
        <f t="shared" si="7"/>
        <v>-623.77814492774451</v>
      </c>
      <c r="M66" s="29">
        <f>VLOOKUP(A66,'Good Samaritan Hospital'!$G:$I,3,FALSE)</f>
        <v>18</v>
      </c>
      <c r="N66" s="55">
        <f t="shared" si="8"/>
        <v>-11228.006608699401</v>
      </c>
      <c r="O66" s="65">
        <f>'SC1 Admission Drop Scenario'!S66</f>
        <v>17</v>
      </c>
      <c r="P66" s="30">
        <f>'SC1 Admission Drop Scenario'!T66</f>
        <v>-10604.228463771657</v>
      </c>
      <c r="Q66" s="30">
        <f>Table1[[#This Row],[New Total Net Margin]]-Table1[[#This Row],[Total net Margin]]</f>
        <v>623.77814492774451</v>
      </c>
      <c r="R66" s="66">
        <f>(Table1[[#This Row],[New Total Net Margin]]-Table1[[#This Row],[Total net Margin]])/Table1[[#This Row],[Total net Margin]]</f>
        <v>-5.5555555555555552E-2</v>
      </c>
      <c r="S66" s="64">
        <f>'SC2 Reduce LOS'!P66</f>
        <v>2</v>
      </c>
      <c r="T66" s="30">
        <f>'SC2 Reduce LOS'!Q66</f>
        <v>5044.2000000000007</v>
      </c>
      <c r="U66" s="30">
        <f>(Table1[[#This Row],[Cost/ Discharge]]-Table1[[#This Row],[New Cost/Discharge]])*Table1[[#This Row],[Discharge Volume]]</f>
        <v>12970.79999999999</v>
      </c>
      <c r="V66" s="108">
        <f>'SC2 Reduce LOS'!S66</f>
        <v>-0.1249999999999999</v>
      </c>
      <c r="W66" s="30">
        <f>'SC2 Reduce LOS'!T66</f>
        <v>96.821855072254948</v>
      </c>
      <c r="X66" s="55">
        <f>'SC2 Reduce LOS'!U66</f>
        <v>1742.7933913005891</v>
      </c>
    </row>
    <row r="67" spans="1:24" x14ac:dyDescent="0.2">
      <c r="A67" s="53" t="s">
        <v>180</v>
      </c>
      <c r="B67" s="35" t="s">
        <v>359</v>
      </c>
      <c r="C67" s="35" t="s">
        <v>360</v>
      </c>
      <c r="D67" s="29" t="s">
        <v>266</v>
      </c>
      <c r="E67" s="31" t="s">
        <v>361</v>
      </c>
      <c r="F67" s="36">
        <v>4.5804</v>
      </c>
      <c r="G67" s="34">
        <v>8.5</v>
      </c>
      <c r="H67" s="27">
        <f>F67*Input!$C$15</f>
        <v>28067.025851572223</v>
      </c>
      <c r="I67" s="27">
        <f>F67*Input!$C$13</f>
        <v>2215.814304</v>
      </c>
      <c r="J67" s="27">
        <f>H67+I67</f>
        <v>30282.840155572223</v>
      </c>
      <c r="K67" s="30">
        <f>(Input!$C$21*'Master Table'!G67)+Input!$C$20</f>
        <v>14412</v>
      </c>
      <c r="L67" s="27">
        <f t="shared" ref="L67" si="15">J67-K67</f>
        <v>15870.840155572223</v>
      </c>
      <c r="M67" s="29">
        <f>VLOOKUP(A67,'Good Samaritan Hospital'!$G:$I,3,FALSE)</f>
        <v>11</v>
      </c>
      <c r="N67" s="55">
        <f t="shared" ref="N67" si="16">L67*M67</f>
        <v>174579.24171129445</v>
      </c>
      <c r="O67" s="65">
        <f>'SC1 Admission Drop Scenario'!S67</f>
        <v>10</v>
      </c>
      <c r="P67" s="30">
        <f>'SC1 Admission Drop Scenario'!T67</f>
        <v>158708.40155572223</v>
      </c>
      <c r="Q67" s="30">
        <f>Table1[[#This Row],[New Total Net Margin]]-Table1[[#This Row],[Total net Margin]]</f>
        <v>-15870.840155572223</v>
      </c>
      <c r="R67" s="66">
        <f>(Table1[[#This Row],[New Total Net Margin]]-Table1[[#This Row],[Total net Margin]])/Table1[[#This Row],[Total net Margin]]</f>
        <v>-9.0909090909090912E-2</v>
      </c>
      <c r="S67" s="64">
        <f>'SC2 Reduce LOS'!P67</f>
        <v>8</v>
      </c>
      <c r="T67" s="30">
        <f>'SC2 Reduce LOS'!Q67</f>
        <v>13691.400000000001</v>
      </c>
      <c r="U67" s="30">
        <f>(Table1[[#This Row],[Cost/ Discharge]]-Table1[[#This Row],[New Cost/Discharge]])*Table1[[#This Row],[Discharge Volume]]</f>
        <v>7926.599999999984</v>
      </c>
      <c r="V67" s="108">
        <f>'SC2 Reduce LOS'!S67</f>
        <v>-4.9999999999999899E-2</v>
      </c>
      <c r="W67" s="30">
        <f>'SC2 Reduce LOS'!T67</f>
        <v>16591.440155572222</v>
      </c>
      <c r="X67" s="55">
        <f>'SC2 Reduce LOS'!U67</f>
        <v>182505.84171129443</v>
      </c>
    </row>
    <row r="68" spans="1:24" ht="17" thickBot="1" x14ac:dyDescent="0.25">
      <c r="A68" s="67"/>
      <c r="B68" s="57"/>
      <c r="C68" s="57"/>
      <c r="D68" s="58"/>
      <c r="E68" s="59"/>
      <c r="F68" s="88"/>
      <c r="G68" s="59"/>
      <c r="H68" s="58"/>
      <c r="I68" s="58"/>
      <c r="J68" s="58"/>
      <c r="K68" s="58"/>
      <c r="L68" s="58"/>
      <c r="M68" s="89">
        <f>SUBTOTAL(109,M3:M67)</f>
        <v>1830</v>
      </c>
      <c r="N68" s="112">
        <f>SUBTOTAL(109,N3:N67)</f>
        <v>9494691.4120958745</v>
      </c>
      <c r="O68" s="67"/>
      <c r="P68" s="111">
        <f>SUBTOTAL(109,P3:P67)</f>
        <v>8744232.0320372749</v>
      </c>
      <c r="Q68" s="58"/>
      <c r="R68" s="83">
        <f>(Table1[[#This Row],[New Total Net Margin]]-Table1[[#This Row],[Total net Margin]])/Table1[[#This Row],[Total net Margin]]</f>
        <v>-7.9039891607487422E-2</v>
      </c>
      <c r="S68" s="67"/>
      <c r="T68" s="58"/>
      <c r="U68" s="111">
        <f>SUBTOTAL(109,U3:U67)</f>
        <v>1318698</v>
      </c>
      <c r="V68" s="58"/>
      <c r="W68" s="58"/>
      <c r="X68" s="112">
        <f>SUBTOTAL(109,X3:X67)</f>
        <v>10813389.412095875</v>
      </c>
    </row>
    <row r="69" spans="1:24" x14ac:dyDescent="0.2">
      <c r="B69" s="35"/>
      <c r="C69" s="35"/>
      <c r="D69" s="29"/>
      <c r="E69" s="31"/>
      <c r="F69" s="36"/>
      <c r="G69" s="34"/>
      <c r="H69" s="27"/>
      <c r="I69" s="27"/>
      <c r="J69" s="27"/>
      <c r="K69" s="30"/>
      <c r="L69" s="27"/>
      <c r="M69" s="29"/>
      <c r="N69" s="30"/>
      <c r="O69" s="29"/>
      <c r="P69" s="30"/>
      <c r="Q69" s="30"/>
      <c r="R69" s="108"/>
      <c r="S69" s="31"/>
      <c r="T69" s="30"/>
      <c r="U69" s="30"/>
      <c r="V69" s="108"/>
      <c r="W69" s="30"/>
      <c r="X69" s="30"/>
    </row>
    <row r="70" spans="1:24" x14ac:dyDescent="0.2">
      <c r="K70" s="144"/>
      <c r="P70" s="16"/>
    </row>
    <row r="71" spans="1:24" x14ac:dyDescent="0.2">
      <c r="K71" s="7"/>
      <c r="O71" s="13"/>
      <c r="P71" s="15"/>
      <c r="Q71" s="13"/>
      <c r="R71" s="13"/>
    </row>
  </sheetData>
  <mergeCells count="3">
    <mergeCell ref="A1:N1"/>
    <mergeCell ref="O1:R1"/>
    <mergeCell ref="S1:X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B975-31E7-284A-93C5-21341F3D6044}">
  <dimension ref="A1:U68"/>
  <sheetViews>
    <sheetView showGridLines="0" workbookViewId="0">
      <selection activeCell="G33" sqref="G33"/>
    </sheetView>
  </sheetViews>
  <sheetFormatPr baseColWidth="10" defaultColWidth="8.83203125" defaultRowHeight="16" x14ac:dyDescent="0.2"/>
  <cols>
    <col min="1" max="1" width="8.83203125" style="1"/>
    <col min="2" max="2" width="0" style="8" hidden="1" customWidth="1"/>
    <col min="3" max="3" width="14.83203125" style="1" hidden="1" customWidth="1"/>
    <col min="4" max="4" width="16.5" style="1" hidden="1" customWidth="1"/>
    <col min="5" max="5" width="8.83203125" style="9"/>
    <col min="6" max="6" width="11.1640625" style="1" customWidth="1"/>
    <col min="7" max="7" width="76.33203125" style="10" customWidth="1"/>
    <col min="8" max="8" width="11.5" style="11" customWidth="1"/>
    <col min="9" max="9" width="15" style="10" customWidth="1"/>
    <col min="10" max="10" width="24" style="1" customWidth="1"/>
    <col min="11" max="11" width="19.33203125" style="1" customWidth="1"/>
    <col min="12" max="12" width="21.6640625" style="1" customWidth="1"/>
    <col min="13" max="13" width="18.5" style="1" customWidth="1"/>
    <col min="14" max="14" width="19" style="1" customWidth="1"/>
    <col min="15" max="15" width="18.5" style="1" customWidth="1"/>
    <col min="16" max="16" width="17.6640625" style="1" customWidth="1"/>
    <col min="17" max="17" width="16.1640625" style="1" customWidth="1"/>
    <col min="18" max="18" width="15.83203125" style="1" customWidth="1"/>
    <col min="19" max="19" width="15.5" style="1" customWidth="1"/>
    <col min="20" max="20" width="21.33203125" style="1" customWidth="1"/>
    <col min="21" max="21" width="22.33203125" style="1" customWidth="1"/>
    <col min="22" max="16384" width="8.83203125" style="1"/>
  </cols>
  <sheetData>
    <row r="1" spans="1:21" s="91" customFormat="1" ht="35" customHeight="1" thickBot="1" x14ac:dyDescent="0.25">
      <c r="A1" s="172" t="s">
        <v>380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4"/>
      <c r="S1" s="175" t="s">
        <v>382</v>
      </c>
      <c r="T1" s="176"/>
      <c r="U1" s="177"/>
    </row>
    <row r="2" spans="1:21" s="12" customFormat="1" ht="84" customHeight="1" x14ac:dyDescent="0.2">
      <c r="A2" s="75" t="s">
        <v>177</v>
      </c>
      <c r="B2" s="43" t="s">
        <v>177</v>
      </c>
      <c r="C2" s="44" t="s">
        <v>243</v>
      </c>
      <c r="D2" s="44" t="s">
        <v>244</v>
      </c>
      <c r="E2" s="43" t="s">
        <v>245</v>
      </c>
      <c r="F2" s="45" t="s">
        <v>247</v>
      </c>
      <c r="G2" s="45" t="s">
        <v>248</v>
      </c>
      <c r="H2" s="46" t="s">
        <v>249</v>
      </c>
      <c r="I2" s="47" t="s">
        <v>250</v>
      </c>
      <c r="J2" s="49" t="s">
        <v>251</v>
      </c>
      <c r="K2" s="49" t="s">
        <v>252</v>
      </c>
      <c r="L2" s="49" t="s">
        <v>253</v>
      </c>
      <c r="M2" s="49" t="s">
        <v>253</v>
      </c>
      <c r="N2" s="49" t="s">
        <v>253</v>
      </c>
      <c r="O2" s="49" t="s">
        <v>254</v>
      </c>
      <c r="P2" s="49" t="s">
        <v>255</v>
      </c>
      <c r="Q2" s="49" t="s">
        <v>256</v>
      </c>
      <c r="R2" s="86" t="s">
        <v>257</v>
      </c>
      <c r="S2" s="131" t="s">
        <v>258</v>
      </c>
      <c r="T2" s="132" t="s">
        <v>259</v>
      </c>
      <c r="U2" s="133" t="s">
        <v>260</v>
      </c>
    </row>
    <row r="3" spans="1:21" x14ac:dyDescent="0.2">
      <c r="A3" s="65" t="str">
        <f t="shared" ref="A3:A34" si="0">TRIM(B3)</f>
        <v>023</v>
      </c>
      <c r="B3" s="32" t="s">
        <v>182</v>
      </c>
      <c r="C3" s="29" t="s">
        <v>263</v>
      </c>
      <c r="D3" s="29" t="s">
        <v>263</v>
      </c>
      <c r="E3" s="32" t="s">
        <v>264</v>
      </c>
      <c r="F3" s="29" t="s">
        <v>266</v>
      </c>
      <c r="G3" s="31" t="s">
        <v>267</v>
      </c>
      <c r="H3" s="33">
        <v>5.7313999999999998</v>
      </c>
      <c r="I3" s="34">
        <v>7.3</v>
      </c>
      <c r="J3" s="27">
        <f>H3*Input!$C$15</f>
        <v>35119.93536933478</v>
      </c>
      <c r="K3" s="27">
        <f>H3*Input!$C$13</f>
        <v>2772.6220639999997</v>
      </c>
      <c r="L3" s="27">
        <f t="shared" ref="L3:L66" si="1">J3+K3</f>
        <v>37892.557433334783</v>
      </c>
      <c r="M3" s="27">
        <f>L3*Input!$C$17</f>
        <v>10126.520726156688</v>
      </c>
      <c r="N3" s="27">
        <f t="shared" ref="N3:N66" si="2">L3-M3</f>
        <v>27766.036707178093</v>
      </c>
      <c r="O3" s="30">
        <f>(Input!$C$21*'Master Table'!G3)+Input!$C$20</f>
        <v>12682.560000000001</v>
      </c>
      <c r="P3" s="27">
        <f>L3-O3</f>
        <v>25209.997433334782</v>
      </c>
      <c r="Q3" s="29">
        <f>VLOOKUP(A3,'Good Samaritan Hospital'!$G:$I,3,FALSE)</f>
        <v>14</v>
      </c>
      <c r="R3" s="55">
        <f>P3*Q3</f>
        <v>352939.96406668692</v>
      </c>
      <c r="S3" s="65">
        <f>ROUND(Q3*(1-0.08),0)</f>
        <v>13</v>
      </c>
      <c r="T3" s="50">
        <f>P3*S3</f>
        <v>327729.96663335216</v>
      </c>
      <c r="U3" s="66">
        <f>(T3-R3)/R3</f>
        <v>-7.1428571428571383E-2</v>
      </c>
    </row>
    <row r="4" spans="1:21" x14ac:dyDescent="0.2">
      <c r="A4" s="65" t="str">
        <f t="shared" si="0"/>
        <v>025</v>
      </c>
      <c r="B4" s="32" t="s">
        <v>183</v>
      </c>
      <c r="C4" s="29" t="s">
        <v>263</v>
      </c>
      <c r="D4" s="29" t="s">
        <v>268</v>
      </c>
      <c r="E4" s="32" t="s">
        <v>264</v>
      </c>
      <c r="F4" s="29" t="s">
        <v>266</v>
      </c>
      <c r="G4" s="31" t="s">
        <v>269</v>
      </c>
      <c r="H4" s="33">
        <v>4.5404999999999998</v>
      </c>
      <c r="I4" s="34">
        <v>6.6</v>
      </c>
      <c r="J4" s="27">
        <f>H4*Input!$C$15</f>
        <v>27822.533158471677</v>
      </c>
      <c r="K4" s="27">
        <f>H4*Input!$C$13</f>
        <v>2196.5122799999999</v>
      </c>
      <c r="L4" s="27">
        <f t="shared" si="1"/>
        <v>30019.045438471676</v>
      </c>
      <c r="M4" s="27">
        <f>L4*Input!$C$17</f>
        <v>8022.3797601134866</v>
      </c>
      <c r="N4" s="27">
        <f t="shared" si="2"/>
        <v>21996.665678358189</v>
      </c>
      <c r="O4" s="30">
        <f>(Input!$C$21*'Master Table'!G4)+Input!$C$20</f>
        <v>11673.720000000001</v>
      </c>
      <c r="P4" s="27">
        <f t="shared" ref="P4:P67" si="3">L4-O4</f>
        <v>18345.325438471675</v>
      </c>
      <c r="Q4" s="29">
        <f>VLOOKUP(A4,'Good Samaritan Hospital'!$G:$I,3,FALSE)</f>
        <v>23</v>
      </c>
      <c r="R4" s="55">
        <f>P4*Q4</f>
        <v>421942.48508484854</v>
      </c>
      <c r="S4" s="65">
        <f t="shared" ref="S4:S67" si="4">ROUND(Q4*(1-0.08),0)</f>
        <v>21</v>
      </c>
      <c r="T4" s="50">
        <f t="shared" ref="T4:T67" si="5">P4*S4</f>
        <v>385251.83420790517</v>
      </c>
      <c r="U4" s="66">
        <f t="shared" ref="U4:U68" si="6">(T4-R4)/R4</f>
        <v>-8.6956521739130488E-2</v>
      </c>
    </row>
    <row r="5" spans="1:21" x14ac:dyDescent="0.2">
      <c r="A5" s="65" t="str">
        <f t="shared" si="0"/>
        <v>027</v>
      </c>
      <c r="B5" s="32" t="s">
        <v>238</v>
      </c>
      <c r="C5" s="29" t="s">
        <v>263</v>
      </c>
      <c r="D5" s="29" t="s">
        <v>268</v>
      </c>
      <c r="E5" s="32" t="s">
        <v>264</v>
      </c>
      <c r="F5" s="29" t="s">
        <v>266</v>
      </c>
      <c r="G5" s="31" t="s">
        <v>270</v>
      </c>
      <c r="H5" s="33">
        <v>2.4954000000000001</v>
      </c>
      <c r="I5" s="34">
        <v>1.8</v>
      </c>
      <c r="J5" s="27">
        <f>H5*Input!$C$15</f>
        <v>15290.903918874623</v>
      </c>
      <c r="K5" s="27">
        <f>H5*Input!$C$13</f>
        <v>1207.174704</v>
      </c>
      <c r="L5" s="27">
        <f t="shared" si="1"/>
        <v>16498.078622874622</v>
      </c>
      <c r="M5" s="27">
        <f>L5*Input!$C$17</f>
        <v>4408.9960254128828</v>
      </c>
      <c r="N5" s="27">
        <f t="shared" si="2"/>
        <v>12089.08259746174</v>
      </c>
      <c r="O5" s="30">
        <f>(Input!$C$21*'Master Table'!G5)+Input!$C$20</f>
        <v>4755.9600000000009</v>
      </c>
      <c r="P5" s="27">
        <f t="shared" si="3"/>
        <v>11742.118622874621</v>
      </c>
      <c r="Q5" s="29">
        <f>VLOOKUP(A5,'Good Samaritan Hospital'!$G:$I,3,FALSE)</f>
        <v>15</v>
      </c>
      <c r="R5" s="55">
        <f>P5*Q5</f>
        <v>176131.77934311933</v>
      </c>
      <c r="S5" s="65">
        <f t="shared" si="4"/>
        <v>14</v>
      </c>
      <c r="T5" s="50">
        <f t="shared" si="5"/>
        <v>164389.66072024469</v>
      </c>
      <c r="U5" s="66">
        <f t="shared" si="6"/>
        <v>-6.6666666666666749E-2</v>
      </c>
    </row>
    <row r="6" spans="1:21" x14ac:dyDescent="0.2">
      <c r="A6" s="65" t="str">
        <f t="shared" si="0"/>
        <v>057</v>
      </c>
      <c r="B6" s="32" t="s">
        <v>204</v>
      </c>
      <c r="C6" s="29" t="s">
        <v>263</v>
      </c>
      <c r="D6" s="29" t="s">
        <v>268</v>
      </c>
      <c r="E6" s="32" t="s">
        <v>264</v>
      </c>
      <c r="F6" s="29" t="s">
        <v>271</v>
      </c>
      <c r="G6" s="31" t="s">
        <v>272</v>
      </c>
      <c r="H6" s="33">
        <v>1.3015000000000001</v>
      </c>
      <c r="I6" s="34">
        <v>3.8</v>
      </c>
      <c r="J6" s="27">
        <f>H6*Input!$C$15</f>
        <v>7975.1187987558396</v>
      </c>
      <c r="K6" s="27">
        <f>H6*Input!$C$13</f>
        <v>629.61364000000003</v>
      </c>
      <c r="L6" s="27">
        <f t="shared" si="1"/>
        <v>8604.7324387558401</v>
      </c>
      <c r="M6" s="27">
        <f>L6*Input!$C$17</f>
        <v>2299.5545111304273</v>
      </c>
      <c r="N6" s="27">
        <f t="shared" si="2"/>
        <v>6305.1779276254128</v>
      </c>
      <c r="O6" s="30">
        <f>(Input!$C$21*'Master Table'!G6)+Input!$C$20</f>
        <v>7638.36</v>
      </c>
      <c r="P6" s="27">
        <f>L6-O6</f>
        <v>966.37243875584045</v>
      </c>
      <c r="Q6" s="29">
        <f>VLOOKUP(A6,'Good Samaritan Hospital'!$G:$I,3,FALSE)</f>
        <v>14</v>
      </c>
      <c r="R6" s="55">
        <f>P6*Q6</f>
        <v>13529.214142581766</v>
      </c>
      <c r="S6" s="65">
        <f t="shared" si="4"/>
        <v>13</v>
      </c>
      <c r="T6" s="50">
        <f t="shared" si="5"/>
        <v>12562.841703825925</v>
      </c>
      <c r="U6" s="66">
        <f t="shared" si="6"/>
        <v>-7.1428571428571494E-2</v>
      </c>
    </row>
    <row r="7" spans="1:21" x14ac:dyDescent="0.2">
      <c r="A7" s="65" t="str">
        <f t="shared" si="0"/>
        <v>064</v>
      </c>
      <c r="B7" s="32" t="s">
        <v>192</v>
      </c>
      <c r="C7" s="29" t="s">
        <v>263</v>
      </c>
      <c r="D7" s="29" t="s">
        <v>268</v>
      </c>
      <c r="E7" s="32" t="s">
        <v>264</v>
      </c>
      <c r="F7" s="29" t="s">
        <v>271</v>
      </c>
      <c r="G7" s="31" t="s">
        <v>273</v>
      </c>
      <c r="H7" s="33">
        <v>1.972</v>
      </c>
      <c r="I7" s="34">
        <v>4.5</v>
      </c>
      <c r="J7" s="27">
        <f>H7*Input!$C$15</f>
        <v>12083.699017400319</v>
      </c>
      <c r="K7" s="27">
        <f>H7*Input!$C$13</f>
        <v>953.97471999999993</v>
      </c>
      <c r="L7" s="27">
        <f t="shared" si="1"/>
        <v>13037.673737400319</v>
      </c>
      <c r="M7" s="27">
        <f>L7*Input!$C$17</f>
        <v>3484.2270426040736</v>
      </c>
      <c r="N7" s="27">
        <f t="shared" si="2"/>
        <v>9553.4466947962446</v>
      </c>
      <c r="O7" s="30">
        <f>(Input!$C$21*'Master Table'!G7)+Input!$C$20</f>
        <v>8647.2000000000007</v>
      </c>
      <c r="P7" s="27">
        <f t="shared" si="3"/>
        <v>4390.473737400318</v>
      </c>
      <c r="Q7" s="29">
        <f>VLOOKUP(A7,'Good Samaritan Hospital'!$G:$I,3,FALSE)</f>
        <v>67</v>
      </c>
      <c r="R7" s="55">
        <f t="shared" ref="R7:R13" si="7">P7*Q7</f>
        <v>294161.7404058213</v>
      </c>
      <c r="S7" s="65">
        <f t="shared" si="4"/>
        <v>62</v>
      </c>
      <c r="T7" s="50">
        <f t="shared" si="5"/>
        <v>272209.37171881972</v>
      </c>
      <c r="U7" s="66">
        <f t="shared" si="6"/>
        <v>-7.4626865671641757E-2</v>
      </c>
    </row>
    <row r="8" spans="1:21" x14ac:dyDescent="0.2">
      <c r="A8" s="65" t="str">
        <f t="shared" si="0"/>
        <v>065</v>
      </c>
      <c r="B8" s="32" t="s">
        <v>221</v>
      </c>
      <c r="C8" s="29" t="s">
        <v>263</v>
      </c>
      <c r="D8" s="29" t="s">
        <v>268</v>
      </c>
      <c r="E8" s="32" t="s">
        <v>264</v>
      </c>
      <c r="F8" s="29" t="s">
        <v>271</v>
      </c>
      <c r="G8" s="31" t="s">
        <v>274</v>
      </c>
      <c r="H8" s="33">
        <v>1.0164</v>
      </c>
      <c r="I8" s="34">
        <v>2.9</v>
      </c>
      <c r="J8" s="27">
        <f>H8*Input!$C$15</f>
        <v>6228.129655824383</v>
      </c>
      <c r="K8" s="27">
        <f>H8*Input!$C$13</f>
        <v>491.69366399999996</v>
      </c>
      <c r="L8" s="27">
        <f t="shared" si="1"/>
        <v>6719.8233198243834</v>
      </c>
      <c r="M8" s="27">
        <f>L8*Input!$C$17</f>
        <v>1795.8257434598277</v>
      </c>
      <c r="N8" s="27">
        <f t="shared" si="2"/>
        <v>4923.9975763645562</v>
      </c>
      <c r="O8" s="30">
        <f>(Input!$C$21*'Master Table'!G8)+Input!$C$20</f>
        <v>6341.28</v>
      </c>
      <c r="P8" s="27">
        <f t="shared" si="3"/>
        <v>378.54331982438362</v>
      </c>
      <c r="Q8" s="29">
        <f>VLOOKUP(A8,'Good Samaritan Hospital'!$G:$I,3,FALSE)</f>
        <v>52</v>
      </c>
      <c r="R8" s="55">
        <f t="shared" si="7"/>
        <v>19684.252630867948</v>
      </c>
      <c r="S8" s="65">
        <f t="shared" si="4"/>
        <v>48</v>
      </c>
      <c r="T8" s="50">
        <f t="shared" si="5"/>
        <v>18170.079351570414</v>
      </c>
      <c r="U8" s="66">
        <f t="shared" si="6"/>
        <v>-7.6923076923076927E-2</v>
      </c>
    </row>
    <row r="9" spans="1:21" x14ac:dyDescent="0.2">
      <c r="A9" s="65" t="str">
        <f t="shared" si="0"/>
        <v>069</v>
      </c>
      <c r="B9" s="32" t="s">
        <v>237</v>
      </c>
      <c r="C9" s="29" t="s">
        <v>268</v>
      </c>
      <c r="D9" s="29" t="s">
        <v>268</v>
      </c>
      <c r="E9" s="32" t="s">
        <v>264</v>
      </c>
      <c r="F9" s="29" t="s">
        <v>271</v>
      </c>
      <c r="G9" s="31" t="s">
        <v>275</v>
      </c>
      <c r="H9" s="33">
        <v>0.79790000000000005</v>
      </c>
      <c r="I9" s="34">
        <v>2</v>
      </c>
      <c r="J9" s="27">
        <f>H9*Input!$C$15</f>
        <v>4889.2410983690243</v>
      </c>
      <c r="K9" s="27">
        <f>H9*Input!$C$13</f>
        <v>385.99210400000004</v>
      </c>
      <c r="L9" s="27">
        <f t="shared" si="1"/>
        <v>5275.2332023690242</v>
      </c>
      <c r="M9" s="27">
        <f>L9*Input!$C$17</f>
        <v>1409.7691467007053</v>
      </c>
      <c r="N9" s="27">
        <f t="shared" si="2"/>
        <v>3865.4640556683189</v>
      </c>
      <c r="O9" s="30">
        <f>(Input!$C$21*'Master Table'!G9)+Input!$C$20</f>
        <v>5044.2000000000007</v>
      </c>
      <c r="P9" s="27">
        <f t="shared" si="3"/>
        <v>231.03320236902346</v>
      </c>
      <c r="Q9" s="29">
        <f>VLOOKUP(A9,'Good Samaritan Hospital'!$G:$I,3,FALSE)</f>
        <v>11</v>
      </c>
      <c r="R9" s="55">
        <f t="shared" si="7"/>
        <v>2541.365226059258</v>
      </c>
      <c r="S9" s="65">
        <f t="shared" si="4"/>
        <v>10</v>
      </c>
      <c r="T9" s="50">
        <f t="shared" si="5"/>
        <v>2310.3320236902346</v>
      </c>
      <c r="U9" s="66">
        <f t="shared" si="6"/>
        <v>-9.0909090909090912E-2</v>
      </c>
    </row>
    <row r="10" spans="1:21" x14ac:dyDescent="0.2">
      <c r="A10" s="65" t="str">
        <f t="shared" si="0"/>
        <v>070</v>
      </c>
      <c r="B10" s="32" t="s">
        <v>190</v>
      </c>
      <c r="C10" s="29" t="s">
        <v>263</v>
      </c>
      <c r="D10" s="29" t="s">
        <v>268</v>
      </c>
      <c r="E10" s="32" t="s">
        <v>264</v>
      </c>
      <c r="F10" s="29" t="s">
        <v>271</v>
      </c>
      <c r="G10" s="31" t="s">
        <v>276</v>
      </c>
      <c r="H10" s="33">
        <v>1.7242</v>
      </c>
      <c r="I10" s="34">
        <v>4.5999999999999996</v>
      </c>
      <c r="J10" s="27">
        <f>H10*Input!$C$15</f>
        <v>10565.270712881151</v>
      </c>
      <c r="K10" s="27">
        <f>H10*Input!$C$13</f>
        <v>834.09899199999995</v>
      </c>
      <c r="L10" s="27">
        <f t="shared" si="1"/>
        <v>11399.36970488115</v>
      </c>
      <c r="M10" s="27">
        <f>L10*Input!$C$17</f>
        <v>3046.4017580415534</v>
      </c>
      <c r="N10" s="27">
        <f t="shared" si="2"/>
        <v>8352.9679468395971</v>
      </c>
      <c r="O10" s="30">
        <f>(Input!$C$21*'Master Table'!G10)+Input!$C$20</f>
        <v>8791.32</v>
      </c>
      <c r="P10" s="27">
        <f t="shared" si="3"/>
        <v>2608.0497048811503</v>
      </c>
      <c r="Q10" s="29">
        <f>VLOOKUP(A10,'Good Samaritan Hospital'!$G:$I,3,FALSE)</f>
        <v>18</v>
      </c>
      <c r="R10" s="55">
        <f t="shared" si="7"/>
        <v>46944.894687860709</v>
      </c>
      <c r="S10" s="65">
        <f t="shared" si="4"/>
        <v>17</v>
      </c>
      <c r="T10" s="50">
        <f t="shared" si="5"/>
        <v>44336.844982979557</v>
      </c>
      <c r="U10" s="66">
        <f t="shared" si="6"/>
        <v>-5.5555555555555587E-2</v>
      </c>
    </row>
    <row r="11" spans="1:21" x14ac:dyDescent="0.2">
      <c r="A11" s="65" t="str">
        <f t="shared" si="0"/>
        <v>071</v>
      </c>
      <c r="B11" s="32" t="s">
        <v>214</v>
      </c>
      <c r="C11" s="29" t="s">
        <v>263</v>
      </c>
      <c r="D11" s="29" t="s">
        <v>268</v>
      </c>
      <c r="E11" s="32" t="s">
        <v>264</v>
      </c>
      <c r="F11" s="29" t="s">
        <v>271</v>
      </c>
      <c r="G11" s="31" t="s">
        <v>277</v>
      </c>
      <c r="H11" s="33">
        <v>1.069</v>
      </c>
      <c r="I11" s="34">
        <v>3.4</v>
      </c>
      <c r="J11" s="27">
        <f>H11*Input!$C$15</f>
        <v>6550.4433314406397</v>
      </c>
      <c r="K11" s="27">
        <f>H11*Input!$C$13</f>
        <v>517.13943999999992</v>
      </c>
      <c r="L11" s="27">
        <f t="shared" si="1"/>
        <v>7067.5827714406396</v>
      </c>
      <c r="M11" s="27">
        <f>L11*Input!$C$17</f>
        <v>1888.762022588111</v>
      </c>
      <c r="N11" s="27">
        <f t="shared" si="2"/>
        <v>5178.8207488525286</v>
      </c>
      <c r="O11" s="30">
        <f>(Input!$C$21*'Master Table'!G11)+Input!$C$20</f>
        <v>7061.88</v>
      </c>
      <c r="P11" s="27">
        <f t="shared" si="3"/>
        <v>5.7027714406394807</v>
      </c>
      <c r="Q11" s="29">
        <f>VLOOKUP(A11,'Good Samaritan Hospital'!$G:$I,3,FALSE)</f>
        <v>20</v>
      </c>
      <c r="R11" s="55">
        <f t="shared" si="7"/>
        <v>114.05542881278961</v>
      </c>
      <c r="S11" s="65">
        <f t="shared" si="4"/>
        <v>18</v>
      </c>
      <c r="T11" s="50">
        <f t="shared" si="5"/>
        <v>102.64988593151065</v>
      </c>
      <c r="U11" s="66">
        <f t="shared" si="6"/>
        <v>-0.1</v>
      </c>
    </row>
    <row r="12" spans="1:21" x14ac:dyDescent="0.2">
      <c r="A12" s="65" t="str">
        <f t="shared" si="0"/>
        <v>100</v>
      </c>
      <c r="B12" s="32" t="s">
        <v>195</v>
      </c>
      <c r="C12" s="29" t="s">
        <v>263</v>
      </c>
      <c r="D12" s="29" t="s">
        <v>268</v>
      </c>
      <c r="E12" s="32" t="s">
        <v>264</v>
      </c>
      <c r="F12" s="29" t="s">
        <v>271</v>
      </c>
      <c r="G12" s="31" t="s">
        <v>278</v>
      </c>
      <c r="H12" s="33">
        <v>1.921</v>
      </c>
      <c r="I12" s="34">
        <v>4.4000000000000004</v>
      </c>
      <c r="J12" s="27">
        <f>H12*Input!$C$15</f>
        <v>11771.189560053759</v>
      </c>
      <c r="K12" s="27">
        <f>H12*Input!$C$13</f>
        <v>929.30295999999998</v>
      </c>
      <c r="L12" s="27">
        <f t="shared" si="1"/>
        <v>12700.492520053758</v>
      </c>
      <c r="M12" s="27">
        <f>L12*Input!$C$17</f>
        <v>3394.1177225367264</v>
      </c>
      <c r="N12" s="27">
        <f t="shared" si="2"/>
        <v>9306.3747975170318</v>
      </c>
      <c r="O12" s="30">
        <f>(Input!$C$21*'Master Table'!G12)+Input!$C$20</f>
        <v>8503.0800000000017</v>
      </c>
      <c r="P12" s="27">
        <f t="shared" si="3"/>
        <v>4197.4125200537565</v>
      </c>
      <c r="Q12" s="29">
        <f>VLOOKUP(A12,'Good Samaritan Hospital'!$G:$I,3,FALSE)</f>
        <v>19</v>
      </c>
      <c r="R12" s="55">
        <f t="shared" si="7"/>
        <v>79750.837881021376</v>
      </c>
      <c r="S12" s="65">
        <f t="shared" si="4"/>
        <v>17</v>
      </c>
      <c r="T12" s="50">
        <f t="shared" si="5"/>
        <v>71356.012840913856</v>
      </c>
      <c r="U12" s="66">
        <f t="shared" si="6"/>
        <v>-0.10526315789473693</v>
      </c>
    </row>
    <row r="13" spans="1:21" x14ac:dyDescent="0.2">
      <c r="A13" s="65" t="str">
        <f t="shared" si="0"/>
        <v>101</v>
      </c>
      <c r="B13" s="32" t="s">
        <v>226</v>
      </c>
      <c r="C13" s="29" t="s">
        <v>263</v>
      </c>
      <c r="D13" s="29" t="s">
        <v>268</v>
      </c>
      <c r="E13" s="32" t="s">
        <v>264</v>
      </c>
      <c r="F13" s="29" t="s">
        <v>271</v>
      </c>
      <c r="G13" s="31" t="s">
        <v>279</v>
      </c>
      <c r="H13" s="33">
        <v>0.90149999999999997</v>
      </c>
      <c r="I13" s="34">
        <v>2.6</v>
      </c>
      <c r="J13" s="27">
        <f>H13*Input!$C$15</f>
        <v>5524.0642313318394</v>
      </c>
      <c r="K13" s="27">
        <f>H13*Input!$C$13</f>
        <v>436.10963999999996</v>
      </c>
      <c r="L13" s="27">
        <f t="shared" si="1"/>
        <v>5960.1738713318391</v>
      </c>
      <c r="M13" s="27">
        <f>L13*Input!$C$17</f>
        <v>1592.8147458963347</v>
      </c>
      <c r="N13" s="27">
        <f t="shared" si="2"/>
        <v>4367.3591254355042</v>
      </c>
      <c r="O13" s="30">
        <f>(Input!$C$21*'Master Table'!G13)+Input!$C$20</f>
        <v>5908.92</v>
      </c>
      <c r="P13" s="27">
        <f t="shared" si="3"/>
        <v>51.253871331839036</v>
      </c>
      <c r="Q13" s="29">
        <f>VLOOKUP(A13,'Good Samaritan Hospital'!$G:$I,3,FALSE)</f>
        <v>14</v>
      </c>
      <c r="R13" s="55">
        <f t="shared" si="7"/>
        <v>717.55419864574651</v>
      </c>
      <c r="S13" s="65">
        <f t="shared" si="4"/>
        <v>13</v>
      </c>
      <c r="T13" s="50">
        <f t="shared" si="5"/>
        <v>666.30032731390747</v>
      </c>
      <c r="U13" s="66">
        <f t="shared" si="6"/>
        <v>-7.1428571428571425E-2</v>
      </c>
    </row>
    <row r="14" spans="1:21" x14ac:dyDescent="0.2">
      <c r="A14" s="65" t="str">
        <f t="shared" si="0"/>
        <v>175</v>
      </c>
      <c r="B14" s="32" t="s">
        <v>200</v>
      </c>
      <c r="C14" s="29" t="s">
        <v>263</v>
      </c>
      <c r="D14" s="29" t="s">
        <v>268</v>
      </c>
      <c r="E14" s="35" t="s">
        <v>280</v>
      </c>
      <c r="F14" s="29" t="s">
        <v>271</v>
      </c>
      <c r="G14" s="31" t="s">
        <v>282</v>
      </c>
      <c r="H14" s="33">
        <v>1.3968</v>
      </c>
      <c r="I14" s="34">
        <v>3.9</v>
      </c>
      <c r="J14" s="27">
        <f>H14*Input!$C$15</f>
        <v>8559.0825494446071</v>
      </c>
      <c r="K14" s="27">
        <f>H14*Input!$C$13</f>
        <v>675.71596799999998</v>
      </c>
      <c r="L14" s="27">
        <f t="shared" si="1"/>
        <v>9234.7985174446076</v>
      </c>
      <c r="M14" s="27">
        <f>L14*Input!$C$17</f>
        <v>2467.9352601974492</v>
      </c>
      <c r="N14" s="27">
        <f t="shared" si="2"/>
        <v>6766.8632572471579</v>
      </c>
      <c r="O14" s="30">
        <f>(Input!$C$21*'Master Table'!G14)+Input!$C$20</f>
        <v>7782.4800000000005</v>
      </c>
      <c r="P14" s="27">
        <f t="shared" si="3"/>
        <v>1452.3185174446071</v>
      </c>
      <c r="Q14" s="29">
        <f>VLOOKUP(A14,'Good Samaritan Hospital'!$G:$I,3,FALSE)</f>
        <v>16</v>
      </c>
      <c r="R14" s="55">
        <f>P14*Q14</f>
        <v>23237.096279113714</v>
      </c>
      <c r="S14" s="65">
        <f t="shared" si="4"/>
        <v>15</v>
      </c>
      <c r="T14" s="50">
        <f t="shared" si="5"/>
        <v>21784.777761669106</v>
      </c>
      <c r="U14" s="66">
        <f t="shared" si="6"/>
        <v>-6.2500000000000042E-2</v>
      </c>
    </row>
    <row r="15" spans="1:21" x14ac:dyDescent="0.2">
      <c r="A15" s="65" t="str">
        <f t="shared" si="0"/>
        <v>177</v>
      </c>
      <c r="B15" s="32" t="s">
        <v>185</v>
      </c>
      <c r="C15" s="29" t="s">
        <v>263</v>
      </c>
      <c r="D15" s="29" t="s">
        <v>268</v>
      </c>
      <c r="E15" s="35" t="s">
        <v>280</v>
      </c>
      <c r="F15" s="29" t="s">
        <v>271</v>
      </c>
      <c r="G15" s="31" t="s">
        <v>283</v>
      </c>
      <c r="H15" s="33">
        <v>1.7799</v>
      </c>
      <c r="I15" s="34">
        <v>5.2</v>
      </c>
      <c r="J15" s="27">
        <f>H15*Input!$C$15</f>
        <v>10906.580061394943</v>
      </c>
      <c r="K15" s="27">
        <f>H15*Input!$C$13</f>
        <v>861.04442400000005</v>
      </c>
      <c r="L15" s="27">
        <f t="shared" si="1"/>
        <v>11767.624485394943</v>
      </c>
      <c r="M15" s="27">
        <f>L15*Input!$C$17</f>
        <v>3144.8152703504006</v>
      </c>
      <c r="N15" s="27">
        <f t="shared" si="2"/>
        <v>8622.8092150445427</v>
      </c>
      <c r="O15" s="30">
        <f>(Input!$C$21*'Master Table'!G15)+Input!$C$20</f>
        <v>9656.0400000000009</v>
      </c>
      <c r="P15" s="27">
        <f t="shared" si="3"/>
        <v>2111.584485394942</v>
      </c>
      <c r="Q15" s="29">
        <f>VLOOKUP(A15,'Good Samaritan Hospital'!$G:$I,3,FALSE)</f>
        <v>57</v>
      </c>
      <c r="R15" s="55">
        <f t="shared" ref="R15:R16" si="8">P15*Q15</f>
        <v>120360.31566751169</v>
      </c>
      <c r="S15" s="65">
        <f t="shared" si="4"/>
        <v>52</v>
      </c>
      <c r="T15" s="50">
        <f t="shared" si="5"/>
        <v>109802.39324053699</v>
      </c>
      <c r="U15" s="66">
        <f t="shared" si="6"/>
        <v>-8.7719298245614002E-2</v>
      </c>
    </row>
    <row r="16" spans="1:21" x14ac:dyDescent="0.2">
      <c r="A16" s="65" t="str">
        <f t="shared" si="0"/>
        <v>178</v>
      </c>
      <c r="B16" s="32" t="s">
        <v>207</v>
      </c>
      <c r="C16" s="29" t="s">
        <v>263</v>
      </c>
      <c r="D16" s="29" t="s">
        <v>268</v>
      </c>
      <c r="E16" s="35" t="s">
        <v>280</v>
      </c>
      <c r="F16" s="29" t="s">
        <v>271</v>
      </c>
      <c r="G16" s="31" t="s">
        <v>284</v>
      </c>
      <c r="H16" s="33">
        <v>1.087</v>
      </c>
      <c r="I16" s="34">
        <v>3.6</v>
      </c>
      <c r="J16" s="27">
        <f>H16*Input!$C$15</f>
        <v>6660.7407869747194</v>
      </c>
      <c r="K16" s="27">
        <f>H16*Input!$C$13</f>
        <v>525.84712000000002</v>
      </c>
      <c r="L16" s="27">
        <f t="shared" si="1"/>
        <v>7186.5879069747198</v>
      </c>
      <c r="M16" s="27">
        <f>L16*Input!$C$17</f>
        <v>1920.565312023645</v>
      </c>
      <c r="N16" s="27">
        <f t="shared" si="2"/>
        <v>5266.022594951075</v>
      </c>
      <c r="O16" s="30">
        <f>(Input!$C$21*'Master Table'!G16)+Input!$C$20</f>
        <v>7350.1200000000008</v>
      </c>
      <c r="P16" s="27">
        <f t="shared" si="3"/>
        <v>-163.53209302528103</v>
      </c>
      <c r="Q16" s="29">
        <f>VLOOKUP(A16,'Good Samaritan Hospital'!$G:$I,3,FALSE)</f>
        <v>11</v>
      </c>
      <c r="R16" s="55">
        <f t="shared" si="8"/>
        <v>-1798.8530232780913</v>
      </c>
      <c r="S16" s="65">
        <f t="shared" si="4"/>
        <v>10</v>
      </c>
      <c r="T16" s="50">
        <f t="shared" si="5"/>
        <v>-1635.3209302528103</v>
      </c>
      <c r="U16" s="66">
        <f t="shared" si="6"/>
        <v>-9.0909090909090912E-2</v>
      </c>
    </row>
    <row r="17" spans="1:21" x14ac:dyDescent="0.2">
      <c r="A17" s="65" t="str">
        <f t="shared" si="0"/>
        <v>189</v>
      </c>
      <c r="B17" s="32" t="s">
        <v>211</v>
      </c>
      <c r="C17" s="29" t="s">
        <v>268</v>
      </c>
      <c r="D17" s="29" t="s">
        <v>268</v>
      </c>
      <c r="E17" s="35" t="s">
        <v>280</v>
      </c>
      <c r="F17" s="29" t="s">
        <v>271</v>
      </c>
      <c r="G17" s="31" t="s">
        <v>285</v>
      </c>
      <c r="H17" s="33">
        <v>1.2070000000000001</v>
      </c>
      <c r="I17" s="34">
        <v>3.5</v>
      </c>
      <c r="J17" s="27">
        <f>H17*Input!$C$15</f>
        <v>7396.0571572019198</v>
      </c>
      <c r="K17" s="27">
        <f>H17*Input!$C$13</f>
        <v>583.89832000000001</v>
      </c>
      <c r="L17" s="27">
        <f t="shared" si="1"/>
        <v>7979.9554772019201</v>
      </c>
      <c r="M17" s="27">
        <f>L17*Input!$C$17</f>
        <v>2132.5872415938729</v>
      </c>
      <c r="N17" s="27">
        <f t="shared" si="2"/>
        <v>5847.3682356080471</v>
      </c>
      <c r="O17" s="30">
        <f>(Input!$C$21*'Master Table'!G17)+Input!$C$20</f>
        <v>7206</v>
      </c>
      <c r="P17" s="27">
        <f t="shared" si="3"/>
        <v>773.95547720192008</v>
      </c>
      <c r="Q17" s="29">
        <f>VLOOKUP(A17,'Good Samaritan Hospital'!$G:$I,3,FALSE)</f>
        <v>60</v>
      </c>
      <c r="R17" s="55">
        <f>P17*Q17</f>
        <v>46437.328632115205</v>
      </c>
      <c r="S17" s="65">
        <f t="shared" si="4"/>
        <v>55</v>
      </c>
      <c r="T17" s="50">
        <f t="shared" si="5"/>
        <v>42567.551246105606</v>
      </c>
      <c r="U17" s="66">
        <f t="shared" si="6"/>
        <v>-8.3333333333333301E-2</v>
      </c>
    </row>
    <row r="18" spans="1:21" x14ac:dyDescent="0.2">
      <c r="A18" s="65" t="str">
        <f t="shared" si="0"/>
        <v>193</v>
      </c>
      <c r="B18" s="32" t="s">
        <v>198</v>
      </c>
      <c r="C18" s="29" t="s">
        <v>263</v>
      </c>
      <c r="D18" s="29" t="s">
        <v>268</v>
      </c>
      <c r="E18" s="35" t="s">
        <v>280</v>
      </c>
      <c r="F18" s="29" t="s">
        <v>271</v>
      </c>
      <c r="G18" s="31" t="s">
        <v>286</v>
      </c>
      <c r="H18" s="33">
        <v>1.2987</v>
      </c>
      <c r="I18" s="34">
        <v>4</v>
      </c>
      <c r="J18" s="27">
        <f>H18*Input!$C$15</f>
        <v>7957.9614167838708</v>
      </c>
      <c r="K18" s="27">
        <f>H18*Input!$C$13</f>
        <v>628.25911199999996</v>
      </c>
      <c r="L18" s="27">
        <f t="shared" si="1"/>
        <v>8586.2205287838715</v>
      </c>
      <c r="M18" s="27">
        <f>L18*Input!$C$17</f>
        <v>2294.6073327737881</v>
      </c>
      <c r="N18" s="27">
        <f t="shared" si="2"/>
        <v>6291.6131960100829</v>
      </c>
      <c r="O18" s="30">
        <f>(Input!$C$21*'Master Table'!G18)+Input!$C$20</f>
        <v>7926.6</v>
      </c>
      <c r="P18" s="27">
        <f t="shared" si="3"/>
        <v>659.62052878387112</v>
      </c>
      <c r="Q18" s="29">
        <f>VLOOKUP(A18,'Good Samaritan Hospital'!$G:$I,3,FALSE)</f>
        <v>39</v>
      </c>
      <c r="R18" s="55">
        <f>P18*Q18</f>
        <v>25725.200622570974</v>
      </c>
      <c r="S18" s="65">
        <f t="shared" si="4"/>
        <v>36</v>
      </c>
      <c r="T18" s="50">
        <f t="shared" si="5"/>
        <v>23746.33903621936</v>
      </c>
      <c r="U18" s="66">
        <f t="shared" si="6"/>
        <v>-7.6923076923076927E-2</v>
      </c>
    </row>
    <row r="19" spans="1:21" x14ac:dyDescent="0.2">
      <c r="A19" s="65" t="str">
        <f t="shared" si="0"/>
        <v>208</v>
      </c>
      <c r="B19" s="32" t="s">
        <v>188</v>
      </c>
      <c r="C19" s="29" t="s">
        <v>268</v>
      </c>
      <c r="D19" s="29" t="s">
        <v>268</v>
      </c>
      <c r="E19" s="35" t="s">
        <v>280</v>
      </c>
      <c r="F19" s="29" t="s">
        <v>271</v>
      </c>
      <c r="G19" s="31" t="s">
        <v>287</v>
      </c>
      <c r="H19" s="33">
        <v>2.6000999999999999</v>
      </c>
      <c r="I19" s="34">
        <v>5</v>
      </c>
      <c r="J19" s="27">
        <f>H19*Input!$C$15</f>
        <v>15932.467451897854</v>
      </c>
      <c r="K19" s="27">
        <f>H19*Input!$C$13</f>
        <v>1257.8243759999998</v>
      </c>
      <c r="L19" s="27">
        <f t="shared" si="1"/>
        <v>17190.291827897854</v>
      </c>
      <c r="M19" s="27">
        <f>L19*Input!$C$17</f>
        <v>4593.9851589629061</v>
      </c>
      <c r="N19" s="27">
        <f t="shared" si="2"/>
        <v>12596.306668934947</v>
      </c>
      <c r="O19" s="30">
        <f>(Input!$C$21*'Master Table'!G19)+Input!$C$20</f>
        <v>9367.7999999999993</v>
      </c>
      <c r="P19" s="27">
        <f t="shared" si="3"/>
        <v>7822.4918278978548</v>
      </c>
      <c r="Q19" s="29">
        <f>VLOOKUP(A19,'Good Samaritan Hospital'!$G:$I,3,FALSE)</f>
        <v>17</v>
      </c>
      <c r="R19" s="55">
        <f>P19*Q19</f>
        <v>132982.36107426352</v>
      </c>
      <c r="S19" s="65">
        <f t="shared" si="4"/>
        <v>16</v>
      </c>
      <c r="T19" s="50">
        <f t="shared" si="5"/>
        <v>125159.86924636568</v>
      </c>
      <c r="U19" s="66">
        <f t="shared" si="6"/>
        <v>-5.8823529411764629E-2</v>
      </c>
    </row>
    <row r="20" spans="1:21" x14ac:dyDescent="0.2">
      <c r="A20" s="65" t="str">
        <f t="shared" si="0"/>
        <v>246</v>
      </c>
      <c r="B20" s="32" t="s">
        <v>205</v>
      </c>
      <c r="C20" s="29" t="s">
        <v>268</v>
      </c>
      <c r="D20" s="29" t="s">
        <v>268</v>
      </c>
      <c r="E20" s="35" t="s">
        <v>288</v>
      </c>
      <c r="F20" s="29" t="s">
        <v>266</v>
      </c>
      <c r="G20" s="31" t="s">
        <v>290</v>
      </c>
      <c r="H20" s="33">
        <v>2.9954000000000001</v>
      </c>
      <c r="I20" s="34">
        <v>3.8</v>
      </c>
      <c r="J20" s="27">
        <f>H20*Input!$C$15</f>
        <v>18354.722128154623</v>
      </c>
      <c r="K20" s="27">
        <f>H20*Input!$C$13</f>
        <v>1449.0547039999999</v>
      </c>
      <c r="L20" s="27">
        <f t="shared" si="1"/>
        <v>19803.776832154621</v>
      </c>
      <c r="M20" s="27">
        <f>L20*Input!$C$17</f>
        <v>5292.4207319554971</v>
      </c>
      <c r="N20" s="27">
        <f t="shared" si="2"/>
        <v>14511.356100199124</v>
      </c>
      <c r="O20" s="30">
        <f>(Input!$C$21*'Master Table'!G20)+Input!$C$20</f>
        <v>7638.36</v>
      </c>
      <c r="P20" s="27">
        <f t="shared" si="3"/>
        <v>12165.41683215462</v>
      </c>
      <c r="Q20" s="29">
        <f>VLOOKUP(A20,'Good Samaritan Hospital'!$G:$I,3,FALSE)</f>
        <v>15</v>
      </c>
      <c r="R20" s="55">
        <f t="shared" ref="R20:R21" si="9">P20*Q20</f>
        <v>182481.25248231931</v>
      </c>
      <c r="S20" s="65">
        <f t="shared" si="4"/>
        <v>14</v>
      </c>
      <c r="T20" s="50">
        <f t="shared" si="5"/>
        <v>170315.83565016469</v>
      </c>
      <c r="U20" s="66">
        <f t="shared" si="6"/>
        <v>-6.6666666666666652E-2</v>
      </c>
    </row>
    <row r="21" spans="1:21" x14ac:dyDescent="0.2">
      <c r="A21" s="65" t="str">
        <f t="shared" si="0"/>
        <v>247</v>
      </c>
      <c r="B21" s="32" t="s">
        <v>236</v>
      </c>
      <c r="C21" s="29" t="s">
        <v>268</v>
      </c>
      <c r="D21" s="29" t="s">
        <v>268</v>
      </c>
      <c r="E21" s="35" t="s">
        <v>288</v>
      </c>
      <c r="F21" s="29" t="s">
        <v>266</v>
      </c>
      <c r="G21" s="31" t="s">
        <v>291</v>
      </c>
      <c r="H21" s="33">
        <v>1.9095</v>
      </c>
      <c r="I21" s="34">
        <v>2</v>
      </c>
      <c r="J21" s="27">
        <f>H21*Input!$C$15</f>
        <v>11700.721741240319</v>
      </c>
      <c r="K21" s="27">
        <f>H21*Input!$C$13</f>
        <v>923.73971999999992</v>
      </c>
      <c r="L21" s="27">
        <f t="shared" si="1"/>
        <v>12624.461461240318</v>
      </c>
      <c r="M21" s="27">
        <f>L21*Input!$C$17</f>
        <v>3373.7989542862465</v>
      </c>
      <c r="N21" s="27">
        <f t="shared" si="2"/>
        <v>9250.6625069540714</v>
      </c>
      <c r="O21" s="30">
        <f>(Input!$C$21*'Master Table'!G21)+Input!$C$20</f>
        <v>5044.2000000000007</v>
      </c>
      <c r="P21" s="27">
        <f t="shared" si="3"/>
        <v>7580.2614612403177</v>
      </c>
      <c r="Q21" s="29">
        <f>VLOOKUP(A21,'Good Samaritan Hospital'!$G:$I,3,FALSE)</f>
        <v>15</v>
      </c>
      <c r="R21" s="55">
        <f t="shared" si="9"/>
        <v>113703.92191860477</v>
      </c>
      <c r="S21" s="65">
        <f t="shared" si="4"/>
        <v>14</v>
      </c>
      <c r="T21" s="50">
        <f t="shared" si="5"/>
        <v>106123.66045736444</v>
      </c>
      <c r="U21" s="66">
        <f t="shared" si="6"/>
        <v>-6.6666666666666749E-2</v>
      </c>
    </row>
    <row r="22" spans="1:21" x14ac:dyDescent="0.2">
      <c r="A22" s="65" t="str">
        <f t="shared" si="0"/>
        <v>269</v>
      </c>
      <c r="B22" s="32" t="s">
        <v>240</v>
      </c>
      <c r="C22" s="29" t="s">
        <v>268</v>
      </c>
      <c r="D22" s="29" t="s">
        <v>268</v>
      </c>
      <c r="E22" s="35" t="s">
        <v>288</v>
      </c>
      <c r="F22" s="29" t="s">
        <v>266</v>
      </c>
      <c r="G22" s="31" t="s">
        <v>292</v>
      </c>
      <c r="H22" s="33">
        <v>4.2763</v>
      </c>
      <c r="I22" s="34">
        <v>1.5</v>
      </c>
      <c r="J22" s="27">
        <f>H22*Input!$C$15</f>
        <v>26203.611616688126</v>
      </c>
      <c r="K22" s="27">
        <f>H22*Input!$C$13</f>
        <v>2068.7028879999998</v>
      </c>
      <c r="L22" s="27">
        <f t="shared" si="1"/>
        <v>28272.314504688125</v>
      </c>
      <c r="M22" s="27">
        <f>L22*Input!$C$17</f>
        <v>7555.5781451763687</v>
      </c>
      <c r="N22" s="27">
        <f t="shared" si="2"/>
        <v>20716.736359511757</v>
      </c>
      <c r="O22" s="30">
        <f>(Input!$C$21*'Master Table'!G22)+Input!$C$20</f>
        <v>4323.6000000000004</v>
      </c>
      <c r="P22" s="27">
        <f t="shared" si="3"/>
        <v>23948.714504688127</v>
      </c>
      <c r="Q22" s="29">
        <f>VLOOKUP(A22,'Good Samaritan Hospital'!$G:$I,3,FALSE)</f>
        <v>12</v>
      </c>
      <c r="R22" s="55">
        <f>P22*Q22</f>
        <v>287384.57405625749</v>
      </c>
      <c r="S22" s="65">
        <f t="shared" si="4"/>
        <v>11</v>
      </c>
      <c r="T22" s="50">
        <f t="shared" si="5"/>
        <v>263435.85955156939</v>
      </c>
      <c r="U22" s="66">
        <f t="shared" si="6"/>
        <v>-8.3333333333333259E-2</v>
      </c>
    </row>
    <row r="23" spans="1:21" x14ac:dyDescent="0.2">
      <c r="A23" s="65" t="str">
        <f t="shared" si="0"/>
        <v>280</v>
      </c>
      <c r="B23" s="32" t="s">
        <v>197</v>
      </c>
      <c r="C23" s="29" t="s">
        <v>263</v>
      </c>
      <c r="D23" s="29" t="s">
        <v>268</v>
      </c>
      <c r="E23" s="35" t="s">
        <v>288</v>
      </c>
      <c r="F23" s="29" t="s">
        <v>271</v>
      </c>
      <c r="G23" s="31" t="s">
        <v>293</v>
      </c>
      <c r="H23" s="33">
        <v>1.6064000000000001</v>
      </c>
      <c r="I23" s="34">
        <v>4.0999999999999996</v>
      </c>
      <c r="J23" s="27">
        <f>H23*Input!$C$15</f>
        <v>9843.4351427747843</v>
      </c>
      <c r="K23" s="27">
        <f>H23*Input!$C$13</f>
        <v>777.11206400000003</v>
      </c>
      <c r="L23" s="27">
        <f t="shared" si="1"/>
        <v>10620.547206774785</v>
      </c>
      <c r="M23" s="27">
        <f>L23*Input!$C$17</f>
        <v>2838.266897180114</v>
      </c>
      <c r="N23" s="27">
        <f t="shared" si="2"/>
        <v>7782.2803095946711</v>
      </c>
      <c r="O23" s="30">
        <f>(Input!$C$21*'Master Table'!G23)+Input!$C$20</f>
        <v>8070.72</v>
      </c>
      <c r="P23" s="27">
        <f t="shared" si="3"/>
        <v>2549.8272067747848</v>
      </c>
      <c r="Q23" s="29">
        <f>VLOOKUP(A23,'Good Samaritan Hospital'!$G:$I,3,FALSE)</f>
        <v>46</v>
      </c>
      <c r="R23" s="55">
        <f t="shared" ref="R23:R26" si="10">P23*Q23</f>
        <v>117292.05151164011</v>
      </c>
      <c r="S23" s="65">
        <f t="shared" si="4"/>
        <v>42</v>
      </c>
      <c r="T23" s="50">
        <f t="shared" si="5"/>
        <v>107092.74268454096</v>
      </c>
      <c r="U23" s="66">
        <f t="shared" si="6"/>
        <v>-8.695652173913046E-2</v>
      </c>
    </row>
    <row r="24" spans="1:21" x14ac:dyDescent="0.2">
      <c r="A24" s="65" t="str">
        <f t="shared" si="0"/>
        <v>281</v>
      </c>
      <c r="B24" s="32" t="s">
        <v>231</v>
      </c>
      <c r="C24" s="29" t="s">
        <v>263</v>
      </c>
      <c r="D24" s="29" t="s">
        <v>268</v>
      </c>
      <c r="E24" s="35" t="s">
        <v>288</v>
      </c>
      <c r="F24" s="29" t="s">
        <v>271</v>
      </c>
      <c r="G24" s="31" t="s">
        <v>294</v>
      </c>
      <c r="H24" s="33">
        <v>0.91859999999999997</v>
      </c>
      <c r="I24" s="34">
        <v>2.4</v>
      </c>
      <c r="J24" s="27">
        <f>H24*Input!$C$15</f>
        <v>5628.8468140892155</v>
      </c>
      <c r="K24" s="27">
        <f>H24*Input!$C$13</f>
        <v>444.381936</v>
      </c>
      <c r="L24" s="27">
        <f t="shared" si="1"/>
        <v>6073.2287500892153</v>
      </c>
      <c r="M24" s="27">
        <f>L24*Input!$C$17</f>
        <v>1623.0278708600922</v>
      </c>
      <c r="N24" s="27">
        <f t="shared" si="2"/>
        <v>4450.2008792291235</v>
      </c>
      <c r="O24" s="30">
        <f>(Input!$C$21*'Master Table'!G24)+Input!$C$20</f>
        <v>5620.68</v>
      </c>
      <c r="P24" s="27">
        <f t="shared" si="3"/>
        <v>452.54875008921499</v>
      </c>
      <c r="Q24" s="29">
        <f>VLOOKUP(A24,'Good Samaritan Hospital'!$G:$I,3,FALSE)</f>
        <v>13</v>
      </c>
      <c r="R24" s="55">
        <f t="shared" si="10"/>
        <v>5883.1337511597949</v>
      </c>
      <c r="S24" s="65">
        <f t="shared" si="4"/>
        <v>12</v>
      </c>
      <c r="T24" s="50">
        <f t="shared" si="5"/>
        <v>5430.5850010705799</v>
      </c>
      <c r="U24" s="66">
        <f t="shared" si="6"/>
        <v>-7.6923076923076927E-2</v>
      </c>
    </row>
    <row r="25" spans="1:21" x14ac:dyDescent="0.2">
      <c r="A25" s="65" t="str">
        <f t="shared" si="0"/>
        <v>286</v>
      </c>
      <c r="B25" s="32" t="s">
        <v>186</v>
      </c>
      <c r="C25" s="29" t="s">
        <v>268</v>
      </c>
      <c r="D25" s="29" t="s">
        <v>268</v>
      </c>
      <c r="E25" s="35" t="s">
        <v>288</v>
      </c>
      <c r="F25" s="29" t="s">
        <v>271</v>
      </c>
      <c r="G25" s="31" t="s">
        <v>295</v>
      </c>
      <c r="H25" s="33">
        <v>2.121</v>
      </c>
      <c r="I25" s="34">
        <v>5.2</v>
      </c>
      <c r="J25" s="27">
        <f>H25*Input!$C$15</f>
        <v>12996.716843765758</v>
      </c>
      <c r="K25" s="27">
        <f>H25*Input!$C$13</f>
        <v>1026.0549599999999</v>
      </c>
      <c r="L25" s="27">
        <f t="shared" si="1"/>
        <v>14022.771803765758</v>
      </c>
      <c r="M25" s="27">
        <f>L25*Input!$C$17</f>
        <v>3747.4876051537726</v>
      </c>
      <c r="N25" s="27">
        <f t="shared" si="2"/>
        <v>10275.284198611986</v>
      </c>
      <c r="O25" s="30">
        <f>(Input!$C$21*'Master Table'!G25)+Input!$C$20</f>
        <v>9656.0400000000009</v>
      </c>
      <c r="P25" s="27">
        <f>L25-O25</f>
        <v>4366.7318037657569</v>
      </c>
      <c r="Q25" s="29">
        <f>VLOOKUP(A25,'Good Samaritan Hospital'!$G:$I,3,FALSE)</f>
        <v>13</v>
      </c>
      <c r="R25" s="55">
        <f t="shared" si="10"/>
        <v>56767.513448954836</v>
      </c>
      <c r="S25" s="65">
        <f t="shared" si="4"/>
        <v>12</v>
      </c>
      <c r="T25" s="50">
        <f t="shared" si="5"/>
        <v>52400.781645189083</v>
      </c>
      <c r="U25" s="66">
        <f t="shared" si="6"/>
        <v>-7.6923076923076858E-2</v>
      </c>
    </row>
    <row r="26" spans="1:21" x14ac:dyDescent="0.2">
      <c r="A26" s="65" t="str">
        <f t="shared" si="0"/>
        <v>287</v>
      </c>
      <c r="B26" s="32" t="s">
        <v>235</v>
      </c>
      <c r="C26" s="29" t="s">
        <v>268</v>
      </c>
      <c r="D26" s="29" t="s">
        <v>268</v>
      </c>
      <c r="E26" s="35" t="s">
        <v>288</v>
      </c>
      <c r="F26" s="29" t="s">
        <v>271</v>
      </c>
      <c r="G26" s="31" t="s">
        <v>296</v>
      </c>
      <c r="H26" s="33">
        <v>1.1002000000000001</v>
      </c>
      <c r="I26" s="34">
        <v>2.1</v>
      </c>
      <c r="J26" s="27">
        <f>H26*Input!$C$15</f>
        <v>6741.625587699712</v>
      </c>
      <c r="K26" s="27">
        <f>H26*Input!$C$13</f>
        <v>532.232752</v>
      </c>
      <c r="L26" s="27">
        <f t="shared" si="1"/>
        <v>7273.8583396997119</v>
      </c>
      <c r="M26" s="27">
        <f>L26*Input!$C$17</f>
        <v>1943.8877242763701</v>
      </c>
      <c r="N26" s="27">
        <f t="shared" si="2"/>
        <v>5329.9706154233418</v>
      </c>
      <c r="O26" s="30">
        <f>(Input!$C$21*'Master Table'!G26)+Input!$C$20</f>
        <v>5188.3200000000006</v>
      </c>
      <c r="P26" s="27">
        <f t="shared" si="3"/>
        <v>2085.5383396997113</v>
      </c>
      <c r="Q26" s="29">
        <f>VLOOKUP(A26,'Good Samaritan Hospital'!$G:$I,3,FALSE)</f>
        <v>19</v>
      </c>
      <c r="R26" s="55">
        <f t="shared" si="10"/>
        <v>39625.228454294513</v>
      </c>
      <c r="S26" s="65">
        <f t="shared" si="4"/>
        <v>17</v>
      </c>
      <c r="T26" s="50">
        <f t="shared" si="5"/>
        <v>35454.151774895094</v>
      </c>
      <c r="U26" s="66">
        <f t="shared" si="6"/>
        <v>-0.10526315789473675</v>
      </c>
    </row>
    <row r="27" spans="1:21" x14ac:dyDescent="0.2">
      <c r="A27" s="65" t="str">
        <f t="shared" si="0"/>
        <v>291</v>
      </c>
      <c r="B27" s="32" t="s">
        <v>201</v>
      </c>
      <c r="C27" s="29" t="s">
        <v>263</v>
      </c>
      <c r="D27" s="29" t="s">
        <v>268</v>
      </c>
      <c r="E27" s="35" t="s">
        <v>288</v>
      </c>
      <c r="F27" s="29" t="s">
        <v>271</v>
      </c>
      <c r="G27" s="31" t="s">
        <v>297</v>
      </c>
      <c r="H27" s="33">
        <v>1.2798</v>
      </c>
      <c r="I27" s="34">
        <v>3.9</v>
      </c>
      <c r="J27" s="27">
        <f>H27*Input!$C$15</f>
        <v>7842.1490884730874</v>
      </c>
      <c r="K27" s="27">
        <f>H27*Input!$C$13</f>
        <v>619.11604799999998</v>
      </c>
      <c r="L27" s="27">
        <f t="shared" si="1"/>
        <v>8461.2651364730882</v>
      </c>
      <c r="M27" s="27">
        <f>L27*Input!$C$17</f>
        <v>2261.2138788664774</v>
      </c>
      <c r="N27" s="27">
        <f t="shared" si="2"/>
        <v>6200.0512576066103</v>
      </c>
      <c r="O27" s="30">
        <f>(Input!$C$21*'Master Table'!G27)+Input!$C$20</f>
        <v>7782.4800000000005</v>
      </c>
      <c r="P27" s="27">
        <f t="shared" si="3"/>
        <v>678.78513647308773</v>
      </c>
      <c r="Q27" s="29">
        <f>VLOOKUP(A27,'Good Samaritan Hospital'!$G:$I,3,FALSE)</f>
        <v>120</v>
      </c>
      <c r="R27" s="55">
        <f>P27*Q27</f>
        <v>81454.216376770521</v>
      </c>
      <c r="S27" s="65">
        <f t="shared" si="4"/>
        <v>110</v>
      </c>
      <c r="T27" s="50">
        <f t="shared" si="5"/>
        <v>74666.365012039649</v>
      </c>
      <c r="U27" s="66">
        <f t="shared" si="6"/>
        <v>-8.3333333333333273E-2</v>
      </c>
    </row>
    <row r="28" spans="1:21" x14ac:dyDescent="0.2">
      <c r="A28" s="65" t="str">
        <f t="shared" si="0"/>
        <v>308</v>
      </c>
      <c r="B28" s="32" t="s">
        <v>212</v>
      </c>
      <c r="C28" s="29" t="s">
        <v>268</v>
      </c>
      <c r="D28" s="29" t="s">
        <v>268</v>
      </c>
      <c r="E28" s="35" t="s">
        <v>288</v>
      </c>
      <c r="F28" s="29" t="s">
        <v>271</v>
      </c>
      <c r="G28" s="31" t="s">
        <v>298</v>
      </c>
      <c r="H28" s="33">
        <v>1.1726000000000001</v>
      </c>
      <c r="I28" s="34">
        <v>3.4</v>
      </c>
      <c r="J28" s="27">
        <f>H28*Input!$C$15</f>
        <v>7185.2664644034558</v>
      </c>
      <c r="K28" s="27">
        <f>H28*Input!$C$13</f>
        <v>567.25697600000001</v>
      </c>
      <c r="L28" s="27">
        <f t="shared" si="1"/>
        <v>7752.5234404034554</v>
      </c>
      <c r="M28" s="27">
        <f>L28*Input!$C$17</f>
        <v>2071.8076217837406</v>
      </c>
      <c r="N28" s="27">
        <f t="shared" si="2"/>
        <v>5680.7158186197148</v>
      </c>
      <c r="O28" s="30">
        <f>(Input!$C$21*'Master Table'!G28)+Input!$C$20</f>
        <v>7061.88</v>
      </c>
      <c r="P28" s="27">
        <f t="shared" si="3"/>
        <v>690.64344040345532</v>
      </c>
      <c r="Q28" s="29">
        <f>VLOOKUP(A28,'Good Samaritan Hospital'!$G:$I,3,FALSE)</f>
        <v>17</v>
      </c>
      <c r="R28" s="55">
        <f t="shared" ref="R28:R29" si="11">P28*Q28</f>
        <v>11740.93848685874</v>
      </c>
      <c r="S28" s="65">
        <f t="shared" si="4"/>
        <v>16</v>
      </c>
      <c r="T28" s="50">
        <f t="shared" si="5"/>
        <v>11050.295046455285</v>
      </c>
      <c r="U28" s="66">
        <f t="shared" si="6"/>
        <v>-5.8823529411764705E-2</v>
      </c>
    </row>
    <row r="29" spans="1:21" x14ac:dyDescent="0.2">
      <c r="A29" s="65" t="str">
        <f t="shared" si="0"/>
        <v>309</v>
      </c>
      <c r="B29" s="32" t="s">
        <v>232</v>
      </c>
      <c r="C29" s="29" t="s">
        <v>268</v>
      </c>
      <c r="D29" s="29" t="s">
        <v>268</v>
      </c>
      <c r="E29" s="35" t="s">
        <v>288</v>
      </c>
      <c r="F29" s="29" t="s">
        <v>271</v>
      </c>
      <c r="G29" s="31" t="s">
        <v>299</v>
      </c>
      <c r="H29" s="33">
        <v>0.73760000000000003</v>
      </c>
      <c r="I29" s="34">
        <v>2.2999999999999998</v>
      </c>
      <c r="J29" s="27">
        <f>H29*Input!$C$15</f>
        <v>4519.7446223298557</v>
      </c>
      <c r="K29" s="27">
        <f>H29*Input!$C$13</f>
        <v>356.82137599999999</v>
      </c>
      <c r="L29" s="27">
        <f t="shared" si="1"/>
        <v>4876.5659983298556</v>
      </c>
      <c r="M29" s="27">
        <f>L29*Input!$C$17</f>
        <v>1303.2281270916656</v>
      </c>
      <c r="N29" s="27">
        <f t="shared" si="2"/>
        <v>3573.33787123819</v>
      </c>
      <c r="O29" s="30">
        <f>(Input!$C$21*'Master Table'!G29)+Input!$C$20</f>
        <v>5476.5599999999995</v>
      </c>
      <c r="P29" s="27">
        <f t="shared" si="3"/>
        <v>-599.99400167014392</v>
      </c>
      <c r="Q29" s="29">
        <f>VLOOKUP(A29,'Good Samaritan Hospital'!$G:$I,3,FALSE)</f>
        <v>27</v>
      </c>
      <c r="R29" s="55">
        <f t="shared" si="11"/>
        <v>-16199.838045093886</v>
      </c>
      <c r="S29" s="65">
        <f t="shared" si="4"/>
        <v>25</v>
      </c>
      <c r="T29" s="50">
        <f t="shared" si="5"/>
        <v>-14999.850041753598</v>
      </c>
      <c r="U29" s="66">
        <f t="shared" si="6"/>
        <v>-7.407407407407407E-2</v>
      </c>
    </row>
    <row r="30" spans="1:21" x14ac:dyDescent="0.2">
      <c r="A30" s="65" t="str">
        <f t="shared" si="0"/>
        <v>312</v>
      </c>
      <c r="B30" s="32" t="s">
        <v>234</v>
      </c>
      <c r="C30" s="29" t="s">
        <v>268</v>
      </c>
      <c r="D30" s="29" t="s">
        <v>268</v>
      </c>
      <c r="E30" s="35" t="s">
        <v>288</v>
      </c>
      <c r="F30" s="29" t="s">
        <v>271</v>
      </c>
      <c r="G30" s="31" t="s">
        <v>300</v>
      </c>
      <c r="H30" s="33">
        <v>0.85270000000000001</v>
      </c>
      <c r="I30" s="34">
        <v>2.2999999999999998</v>
      </c>
      <c r="J30" s="27">
        <f>H30*Input!$C$15</f>
        <v>5225.0355741061121</v>
      </c>
      <c r="K30" s="27">
        <f>H30*Input!$C$13</f>
        <v>412.50215200000002</v>
      </c>
      <c r="L30" s="27">
        <f t="shared" si="1"/>
        <v>5637.5377261061121</v>
      </c>
      <c r="M30" s="27">
        <f>L30*Input!$C$17</f>
        <v>1506.5924945377758</v>
      </c>
      <c r="N30" s="27">
        <f t="shared" si="2"/>
        <v>4130.9452315683366</v>
      </c>
      <c r="O30" s="30">
        <f>(Input!$C$21*'Master Table'!G30)+Input!$C$20</f>
        <v>5476.5599999999995</v>
      </c>
      <c r="P30" s="27">
        <f t="shared" si="3"/>
        <v>160.97772610611264</v>
      </c>
      <c r="Q30" s="29">
        <f>VLOOKUP(A30,'Good Samaritan Hospital'!$G:$I,3,FALSE)</f>
        <v>29</v>
      </c>
      <c r="R30" s="55">
        <f>P30*Q30</f>
        <v>4668.3540570772666</v>
      </c>
      <c r="S30" s="65">
        <f t="shared" si="4"/>
        <v>27</v>
      </c>
      <c r="T30" s="50">
        <f t="shared" si="5"/>
        <v>4346.3986048650413</v>
      </c>
      <c r="U30" s="66">
        <f t="shared" si="6"/>
        <v>-6.8965517241379309E-2</v>
      </c>
    </row>
    <row r="31" spans="1:21" x14ac:dyDescent="0.2">
      <c r="A31" s="65" t="str">
        <f t="shared" si="0"/>
        <v>329</v>
      </c>
      <c r="B31" s="32" t="s">
        <v>178</v>
      </c>
      <c r="C31" s="29" t="s">
        <v>263</v>
      </c>
      <c r="D31" s="29" t="s">
        <v>268</v>
      </c>
      <c r="E31" s="35" t="s">
        <v>301</v>
      </c>
      <c r="F31" s="29" t="s">
        <v>266</v>
      </c>
      <c r="G31" s="31" t="s">
        <v>303</v>
      </c>
      <c r="H31" s="33">
        <v>4.6233000000000004</v>
      </c>
      <c r="I31" s="34">
        <v>9.8000000000000007</v>
      </c>
      <c r="J31" s="27">
        <f>H31*Input!$C$15</f>
        <v>28329.901453928447</v>
      </c>
      <c r="K31" s="27">
        <f>H31*Input!$C$13</f>
        <v>2236.5676080000003</v>
      </c>
      <c r="L31" s="27">
        <f t="shared" si="1"/>
        <v>30566.469061928448</v>
      </c>
      <c r="M31" s="27">
        <f>L31*Input!$C$17</f>
        <v>8168.6748915169446</v>
      </c>
      <c r="N31" s="27">
        <f t="shared" si="2"/>
        <v>22397.794170411504</v>
      </c>
      <c r="O31" s="30">
        <f>(Input!$C$21*'Master Table'!G31)+Input!$C$20</f>
        <v>16285.560000000001</v>
      </c>
      <c r="P31" s="27">
        <f t="shared" si="3"/>
        <v>14280.909061928447</v>
      </c>
      <c r="Q31" s="29">
        <f>VLOOKUP(A31,'Good Samaritan Hospital'!$G:$I,3,FALSE)</f>
        <v>17</v>
      </c>
      <c r="R31" s="55">
        <f t="shared" ref="R31:R37" si="12">P31*Q31</f>
        <v>242775.45405278361</v>
      </c>
      <c r="S31" s="65">
        <f t="shared" si="4"/>
        <v>16</v>
      </c>
      <c r="T31" s="50">
        <f t="shared" si="5"/>
        <v>228494.54499085515</v>
      </c>
      <c r="U31" s="66">
        <f t="shared" si="6"/>
        <v>-5.8823529411764733E-2</v>
      </c>
    </row>
    <row r="32" spans="1:21" x14ac:dyDescent="0.2">
      <c r="A32" s="65" t="str">
        <f t="shared" si="0"/>
        <v>330</v>
      </c>
      <c r="B32" s="32" t="s">
        <v>184</v>
      </c>
      <c r="C32" s="29" t="s">
        <v>263</v>
      </c>
      <c r="D32" s="29" t="s">
        <v>268</v>
      </c>
      <c r="E32" s="35" t="s">
        <v>301</v>
      </c>
      <c r="F32" s="29" t="s">
        <v>266</v>
      </c>
      <c r="G32" s="31" t="s">
        <v>304</v>
      </c>
      <c r="H32" s="33">
        <v>2.4554</v>
      </c>
      <c r="I32" s="34">
        <v>5.3</v>
      </c>
      <c r="J32" s="27">
        <f>H32*Input!$C$15</f>
        <v>15045.798462132223</v>
      </c>
      <c r="K32" s="27">
        <f>H32*Input!$C$13</f>
        <v>1187.824304</v>
      </c>
      <c r="L32" s="27">
        <f t="shared" si="1"/>
        <v>16233.622766132223</v>
      </c>
      <c r="M32" s="27">
        <f>L32*Input!$C$17</f>
        <v>4338.322048889474</v>
      </c>
      <c r="N32" s="27">
        <f t="shared" si="2"/>
        <v>11895.30071724275</v>
      </c>
      <c r="O32" s="30">
        <f>(Input!$C$21*'Master Table'!G32)+Input!$C$20</f>
        <v>9800.16</v>
      </c>
      <c r="P32" s="27">
        <f t="shared" si="3"/>
        <v>6433.4627661322229</v>
      </c>
      <c r="Q32" s="29">
        <f>VLOOKUP(A32,'Good Samaritan Hospital'!$G:$I,3,FALSE)</f>
        <v>26</v>
      </c>
      <c r="R32" s="55">
        <f t="shared" si="12"/>
        <v>167270.03191943781</v>
      </c>
      <c r="S32" s="65">
        <f t="shared" si="4"/>
        <v>24</v>
      </c>
      <c r="T32" s="50">
        <f t="shared" si="5"/>
        <v>154403.10638717335</v>
      </c>
      <c r="U32" s="66">
        <f t="shared" si="6"/>
        <v>-7.6923076923076997E-2</v>
      </c>
    </row>
    <row r="33" spans="1:21" x14ac:dyDescent="0.2">
      <c r="A33" s="65" t="str">
        <f t="shared" si="0"/>
        <v>377</v>
      </c>
      <c r="B33" s="32" t="s">
        <v>193</v>
      </c>
      <c r="C33" s="29" t="s">
        <v>263</v>
      </c>
      <c r="D33" s="29" t="s">
        <v>268</v>
      </c>
      <c r="E33" s="35" t="s">
        <v>301</v>
      </c>
      <c r="F33" s="29" t="s">
        <v>271</v>
      </c>
      <c r="G33" s="31" t="s">
        <v>305</v>
      </c>
      <c r="H33" s="33">
        <v>1.778</v>
      </c>
      <c r="I33" s="34">
        <v>4.5</v>
      </c>
      <c r="J33" s="27">
        <f>H33*Input!$C$15</f>
        <v>10894.937552199679</v>
      </c>
      <c r="K33" s="27">
        <f>H33*Input!$C$13</f>
        <v>860.12527999999998</v>
      </c>
      <c r="L33" s="27">
        <f t="shared" si="1"/>
        <v>11755.062832199679</v>
      </c>
      <c r="M33" s="27">
        <f>L33*Input!$C$17</f>
        <v>3141.4582564655389</v>
      </c>
      <c r="N33" s="27">
        <f t="shared" si="2"/>
        <v>8613.6045757341399</v>
      </c>
      <c r="O33" s="30">
        <f>(Input!$C$21*'Master Table'!G33)+Input!$C$20</f>
        <v>8647.2000000000007</v>
      </c>
      <c r="P33" s="27">
        <f t="shared" si="3"/>
        <v>3107.8628321996785</v>
      </c>
      <c r="Q33" s="29">
        <f>VLOOKUP(A33,'Good Samaritan Hospital'!$G:$I,3,FALSE)</f>
        <v>17</v>
      </c>
      <c r="R33" s="55">
        <f t="shared" si="12"/>
        <v>52833.668147394535</v>
      </c>
      <c r="S33" s="65">
        <f t="shared" si="4"/>
        <v>16</v>
      </c>
      <c r="T33" s="50">
        <f t="shared" si="5"/>
        <v>49725.805315194855</v>
      </c>
      <c r="U33" s="66">
        <f t="shared" si="6"/>
        <v>-5.882352941176474E-2</v>
      </c>
    </row>
    <row r="34" spans="1:21" x14ac:dyDescent="0.2">
      <c r="A34" s="65" t="str">
        <f t="shared" si="0"/>
        <v>378</v>
      </c>
      <c r="B34" s="32" t="s">
        <v>218</v>
      </c>
      <c r="C34" s="29" t="s">
        <v>263</v>
      </c>
      <c r="D34" s="29" t="s">
        <v>268</v>
      </c>
      <c r="E34" s="35" t="s">
        <v>301</v>
      </c>
      <c r="F34" s="29" t="s">
        <v>271</v>
      </c>
      <c r="G34" s="31" t="s">
        <v>306</v>
      </c>
      <c r="H34" s="33">
        <v>0.98499999999999999</v>
      </c>
      <c r="I34" s="34">
        <v>3</v>
      </c>
      <c r="J34" s="27">
        <f>H34*Input!$C$15</f>
        <v>6035.7218722815996</v>
      </c>
      <c r="K34" s="27">
        <f>H34*Input!$C$13</f>
        <v>476.50360000000001</v>
      </c>
      <c r="L34" s="27">
        <f t="shared" si="1"/>
        <v>6512.2254722815997</v>
      </c>
      <c r="M34" s="27">
        <f>L34*Input!$C$17</f>
        <v>1740.3466718889515</v>
      </c>
      <c r="N34" s="27">
        <f t="shared" si="2"/>
        <v>4771.8788003926484</v>
      </c>
      <c r="O34" s="30">
        <f>(Input!$C$21*'Master Table'!G34)+Input!$C$20</f>
        <v>6485.4000000000005</v>
      </c>
      <c r="P34" s="27">
        <f t="shared" si="3"/>
        <v>26.825472281599104</v>
      </c>
      <c r="Q34" s="29">
        <f>VLOOKUP(A34,'Good Samaritan Hospital'!$G:$I,3,FALSE)</f>
        <v>50</v>
      </c>
      <c r="R34" s="55">
        <f t="shared" si="12"/>
        <v>1341.2736140799552</v>
      </c>
      <c r="S34" s="65">
        <f t="shared" si="4"/>
        <v>46</v>
      </c>
      <c r="T34" s="50">
        <f t="shared" si="5"/>
        <v>1233.9717249535588</v>
      </c>
      <c r="U34" s="66">
        <f t="shared" si="6"/>
        <v>-0.08</v>
      </c>
    </row>
    <row r="35" spans="1:21" x14ac:dyDescent="0.2">
      <c r="A35" s="65" t="str">
        <f t="shared" ref="A35:A66" si="13">TRIM(B35)</f>
        <v>388</v>
      </c>
      <c r="B35" s="32" t="s">
        <v>191</v>
      </c>
      <c r="C35" s="29" t="s">
        <v>263</v>
      </c>
      <c r="D35" s="29" t="s">
        <v>268</v>
      </c>
      <c r="E35" s="35" t="s">
        <v>301</v>
      </c>
      <c r="F35" s="29" t="s">
        <v>271</v>
      </c>
      <c r="G35" s="31" t="s">
        <v>307</v>
      </c>
      <c r="H35" s="33">
        <v>1.4674</v>
      </c>
      <c r="I35" s="34">
        <v>4.5999999999999996</v>
      </c>
      <c r="J35" s="27">
        <f>H35*Input!$C$15</f>
        <v>8991.6936805949445</v>
      </c>
      <c r="K35" s="27">
        <f>H35*Input!$C$13</f>
        <v>709.86942399999998</v>
      </c>
      <c r="L35" s="27">
        <f t="shared" si="1"/>
        <v>9701.5631045949449</v>
      </c>
      <c r="M35" s="27">
        <f>L35*Input!$C$17</f>
        <v>2592.6748287612668</v>
      </c>
      <c r="N35" s="27">
        <f t="shared" si="2"/>
        <v>7108.8882758336786</v>
      </c>
      <c r="O35" s="30">
        <f>(Input!$C$21*'Master Table'!G35)+Input!$C$20</f>
        <v>8791.32</v>
      </c>
      <c r="P35" s="27">
        <f t="shared" si="3"/>
        <v>910.24310459494518</v>
      </c>
      <c r="Q35" s="29">
        <f>VLOOKUP(A35,'Good Samaritan Hospital'!$G:$I,3,FALSE)</f>
        <v>14</v>
      </c>
      <c r="R35" s="55">
        <f t="shared" si="12"/>
        <v>12743.403464329233</v>
      </c>
      <c r="S35" s="65">
        <f t="shared" si="4"/>
        <v>13</v>
      </c>
      <c r="T35" s="50">
        <f t="shared" si="5"/>
        <v>11833.160359734287</v>
      </c>
      <c r="U35" s="66">
        <f t="shared" si="6"/>
        <v>-7.1428571428571425E-2</v>
      </c>
    </row>
    <row r="36" spans="1:21" x14ac:dyDescent="0.2">
      <c r="A36" s="65" t="str">
        <f t="shared" si="13"/>
        <v>389</v>
      </c>
      <c r="B36" s="32" t="s">
        <v>220</v>
      </c>
      <c r="C36" s="29" t="s">
        <v>263</v>
      </c>
      <c r="D36" s="29" t="s">
        <v>268</v>
      </c>
      <c r="E36" s="35" t="s">
        <v>301</v>
      </c>
      <c r="F36" s="29" t="s">
        <v>271</v>
      </c>
      <c r="G36" s="31" t="s">
        <v>308</v>
      </c>
      <c r="H36" s="33">
        <v>0.80710000000000004</v>
      </c>
      <c r="I36" s="34">
        <v>3</v>
      </c>
      <c r="J36" s="27">
        <f>H36*Input!$C$15</f>
        <v>4945.6153534197756</v>
      </c>
      <c r="K36" s="27">
        <f>H36*Input!$C$13</f>
        <v>390.44269600000001</v>
      </c>
      <c r="L36" s="27">
        <f t="shared" si="1"/>
        <v>5336.0580494197757</v>
      </c>
      <c r="M36" s="27">
        <f>L36*Input!$C$17</f>
        <v>1426.0241613010892</v>
      </c>
      <c r="N36" s="27">
        <f t="shared" si="2"/>
        <v>3910.0338881186863</v>
      </c>
      <c r="O36" s="30">
        <f>(Input!$C$21*'Master Table'!G36)+Input!$C$20</f>
        <v>6485.4000000000005</v>
      </c>
      <c r="P36" s="27">
        <f t="shared" si="3"/>
        <v>-1149.3419505802249</v>
      </c>
      <c r="Q36" s="29">
        <f>VLOOKUP(A36,'Good Samaritan Hospital'!$G:$I,3,FALSE)</f>
        <v>17</v>
      </c>
      <c r="R36" s="55">
        <f t="shared" si="12"/>
        <v>-19538.813159863821</v>
      </c>
      <c r="S36" s="65">
        <f t="shared" si="4"/>
        <v>16</v>
      </c>
      <c r="T36" s="50">
        <f t="shared" si="5"/>
        <v>-18389.471209283598</v>
      </c>
      <c r="U36" s="66">
        <f t="shared" si="6"/>
        <v>-5.8823529411764615E-2</v>
      </c>
    </row>
    <row r="37" spans="1:21" x14ac:dyDescent="0.2">
      <c r="A37" s="65" t="str">
        <f t="shared" si="13"/>
        <v>390</v>
      </c>
      <c r="B37" s="32" t="s">
        <v>233</v>
      </c>
      <c r="C37" s="29" t="s">
        <v>263</v>
      </c>
      <c r="D37" s="29" t="s">
        <v>268</v>
      </c>
      <c r="E37" s="35" t="s">
        <v>301</v>
      </c>
      <c r="F37" s="29" t="s">
        <v>271</v>
      </c>
      <c r="G37" s="31" t="s">
        <v>309</v>
      </c>
      <c r="H37" s="33">
        <v>0.5655</v>
      </c>
      <c r="I37" s="34">
        <v>2.2999999999999998</v>
      </c>
      <c r="J37" s="27">
        <f>H37*Input!$C$15</f>
        <v>3465.1783946956798</v>
      </c>
      <c r="K37" s="27">
        <f>H37*Input!$C$13</f>
        <v>273.56628000000001</v>
      </c>
      <c r="L37" s="27">
        <f t="shared" si="1"/>
        <v>3738.7446746956798</v>
      </c>
      <c r="M37" s="27">
        <f>L37*Input!$C$17</f>
        <v>999.15334309969762</v>
      </c>
      <c r="N37" s="27">
        <f t="shared" si="2"/>
        <v>2739.5913315959824</v>
      </c>
      <c r="O37" s="30">
        <f>(Input!$C$21*'Master Table'!G37)+Input!$C$20</f>
        <v>5476.5599999999995</v>
      </c>
      <c r="P37" s="27">
        <f t="shared" si="3"/>
        <v>-1737.8153253043197</v>
      </c>
      <c r="Q37" s="29">
        <f>VLOOKUP(A37,'Good Samaritan Hospital'!$G:$I,3,FALSE)</f>
        <v>12</v>
      </c>
      <c r="R37" s="55">
        <f t="shared" si="12"/>
        <v>-20853.783903651834</v>
      </c>
      <c r="S37" s="65">
        <f t="shared" si="4"/>
        <v>11</v>
      </c>
      <c r="T37" s="50">
        <f t="shared" si="5"/>
        <v>-19115.968578347518</v>
      </c>
      <c r="U37" s="66">
        <f t="shared" si="6"/>
        <v>-8.333333333333319E-2</v>
      </c>
    </row>
    <row r="38" spans="1:21" x14ac:dyDescent="0.2">
      <c r="A38" s="65" t="str">
        <f t="shared" si="13"/>
        <v>392</v>
      </c>
      <c r="B38" s="32" t="s">
        <v>227</v>
      </c>
      <c r="C38" s="29" t="s">
        <v>268</v>
      </c>
      <c r="D38" s="29" t="s">
        <v>268</v>
      </c>
      <c r="E38" s="35" t="s">
        <v>301</v>
      </c>
      <c r="F38" s="29" t="s">
        <v>271</v>
      </c>
      <c r="G38" s="31" t="s">
        <v>310</v>
      </c>
      <c r="H38" s="33">
        <v>0.78759999999999997</v>
      </c>
      <c r="I38" s="34">
        <v>2.6</v>
      </c>
      <c r="J38" s="27">
        <f>H38*Input!$C$15</f>
        <v>4826.1264432578555</v>
      </c>
      <c r="K38" s="27">
        <f>H38*Input!$C$13</f>
        <v>381.00937599999997</v>
      </c>
      <c r="L38" s="27">
        <f t="shared" si="1"/>
        <v>5207.1358192578555</v>
      </c>
      <c r="M38" s="27">
        <f>L38*Input!$C$17</f>
        <v>1391.5705977459272</v>
      </c>
      <c r="N38" s="27">
        <f t="shared" si="2"/>
        <v>3815.565221511928</v>
      </c>
      <c r="O38" s="30">
        <f>(Input!$C$21*'Master Table'!G38)+Input!$C$20</f>
        <v>5908.92</v>
      </c>
      <c r="P38" s="27">
        <f t="shared" si="3"/>
        <v>-701.7841807421446</v>
      </c>
      <c r="Q38" s="29">
        <f>VLOOKUP(A38,'Good Samaritan Hospital'!$G:$I,3,FALSE)</f>
        <v>33</v>
      </c>
      <c r="R38" s="55">
        <f>P38*Q38</f>
        <v>-23158.87796449077</v>
      </c>
      <c r="S38" s="65">
        <f t="shared" si="4"/>
        <v>30</v>
      </c>
      <c r="T38" s="50">
        <f t="shared" si="5"/>
        <v>-21053.525422264338</v>
      </c>
      <c r="U38" s="66">
        <f t="shared" si="6"/>
        <v>-9.0909090909090842E-2</v>
      </c>
    </row>
    <row r="39" spans="1:21" x14ac:dyDescent="0.2">
      <c r="A39" s="65" t="str">
        <f t="shared" si="13"/>
        <v>394</v>
      </c>
      <c r="B39" s="32" t="s">
        <v>219</v>
      </c>
      <c r="C39" s="29" t="s">
        <v>268</v>
      </c>
      <c r="D39" s="29" t="s">
        <v>268</v>
      </c>
      <c r="E39" s="35" t="s">
        <v>301</v>
      </c>
      <c r="F39" s="29" t="s">
        <v>271</v>
      </c>
      <c r="G39" s="31" t="s">
        <v>311</v>
      </c>
      <c r="H39" s="33">
        <v>0.94299999999999995</v>
      </c>
      <c r="I39" s="34">
        <v>3</v>
      </c>
      <c r="J39" s="27">
        <f>H39*Input!$C$15</f>
        <v>5778.3611427020796</v>
      </c>
      <c r="K39" s="27">
        <f>H39*Input!$C$13</f>
        <v>456.18567999999999</v>
      </c>
      <c r="L39" s="27">
        <f t="shared" si="1"/>
        <v>6234.5468227020792</v>
      </c>
      <c r="M39" s="27">
        <f>L39*Input!$C$17</f>
        <v>1666.1389965393719</v>
      </c>
      <c r="N39" s="27">
        <f t="shared" si="2"/>
        <v>4568.4078261627074</v>
      </c>
      <c r="O39" s="30">
        <f>(Input!$C$21*'Master Table'!G39)+Input!$C$20</f>
        <v>6485.4000000000005</v>
      </c>
      <c r="P39" s="27">
        <f t="shared" si="3"/>
        <v>-250.85317729792132</v>
      </c>
      <c r="Q39" s="29">
        <f>VLOOKUP(A39,'Good Samaritan Hospital'!$G:$I,3,FALSE)</f>
        <v>12</v>
      </c>
      <c r="R39" s="55">
        <f>P39*Q39</f>
        <v>-3010.2381275750558</v>
      </c>
      <c r="S39" s="65">
        <f t="shared" si="4"/>
        <v>11</v>
      </c>
      <c r="T39" s="50">
        <f t="shared" si="5"/>
        <v>-2759.3849502771345</v>
      </c>
      <c r="U39" s="66">
        <f t="shared" si="6"/>
        <v>-8.3333333333333329E-2</v>
      </c>
    </row>
    <row r="40" spans="1:21" x14ac:dyDescent="0.2">
      <c r="A40" s="65" t="str">
        <f t="shared" si="13"/>
        <v>418</v>
      </c>
      <c r="B40" s="32" t="s">
        <v>213</v>
      </c>
      <c r="C40" s="29" t="s">
        <v>268</v>
      </c>
      <c r="D40" s="29" t="s">
        <v>268</v>
      </c>
      <c r="E40" s="35" t="s">
        <v>312</v>
      </c>
      <c r="F40" s="29" t="s">
        <v>266</v>
      </c>
      <c r="G40" s="31" t="s">
        <v>314</v>
      </c>
      <c r="H40" s="33">
        <v>1.661</v>
      </c>
      <c r="I40" s="34">
        <v>3.4</v>
      </c>
      <c r="J40" s="27">
        <f>H40*Input!$C$15</f>
        <v>10178.00409122816</v>
      </c>
      <c r="K40" s="27">
        <f>H40*Input!$C$13</f>
        <v>803.52535999999998</v>
      </c>
      <c r="L40" s="27">
        <f t="shared" si="1"/>
        <v>10981.52945122816</v>
      </c>
      <c r="M40" s="27">
        <f>L40*Input!$C$17</f>
        <v>2934.7368751345671</v>
      </c>
      <c r="N40" s="27">
        <f t="shared" si="2"/>
        <v>8046.7925760935923</v>
      </c>
      <c r="O40" s="30">
        <f>(Input!$C$21*'Master Table'!G40)+Input!$C$20</f>
        <v>7061.88</v>
      </c>
      <c r="P40" s="27">
        <f t="shared" si="3"/>
        <v>3919.6494512281597</v>
      </c>
      <c r="Q40" s="29">
        <f>VLOOKUP(A40,'Good Samaritan Hospital'!$G:$I,3,FALSE)</f>
        <v>14</v>
      </c>
      <c r="R40" s="55">
        <f>P40*Q40</f>
        <v>54875.092317194234</v>
      </c>
      <c r="S40" s="65">
        <f t="shared" si="4"/>
        <v>13</v>
      </c>
      <c r="T40" s="50">
        <f t="shared" si="5"/>
        <v>50955.442865966077</v>
      </c>
      <c r="U40" s="66">
        <f t="shared" si="6"/>
        <v>-7.1428571428571383E-2</v>
      </c>
    </row>
    <row r="41" spans="1:21" x14ac:dyDescent="0.2">
      <c r="A41" s="65" t="str">
        <f t="shared" si="13"/>
        <v>453</v>
      </c>
      <c r="B41" s="32" t="s">
        <v>181</v>
      </c>
      <c r="C41" s="29" t="s">
        <v>268</v>
      </c>
      <c r="D41" s="29" t="s">
        <v>268</v>
      </c>
      <c r="E41" s="35" t="s">
        <v>315</v>
      </c>
      <c r="F41" s="29" t="s">
        <v>266</v>
      </c>
      <c r="G41" s="31" t="s">
        <v>317</v>
      </c>
      <c r="H41" s="33">
        <v>9.1547999999999998</v>
      </c>
      <c r="I41" s="34">
        <v>7.5</v>
      </c>
      <c r="J41" s="27">
        <f>H41*Input!$C$15</f>
        <v>56097.285884633086</v>
      </c>
      <c r="K41" s="27">
        <f>H41*Input!$C$13</f>
        <v>4428.7260479999995</v>
      </c>
      <c r="L41" s="27">
        <f t="shared" si="1"/>
        <v>60526.011932633082</v>
      </c>
      <c r="M41" s="27">
        <f>L41*Input!$C$17</f>
        <v>16175.153006912664</v>
      </c>
      <c r="N41" s="27">
        <f t="shared" si="2"/>
        <v>44350.858925720415</v>
      </c>
      <c r="O41" s="30">
        <f>(Input!$C$21*'Master Table'!G41)+Input!$C$20</f>
        <v>12970.8</v>
      </c>
      <c r="P41" s="27">
        <f t="shared" si="3"/>
        <v>47555.211932633087</v>
      </c>
      <c r="Q41" s="29">
        <f>VLOOKUP(A41,'Good Samaritan Hospital'!$G:$I,3,FALSE)</f>
        <v>25</v>
      </c>
      <c r="R41" s="55">
        <f t="shared" ref="R41:R43" si="14">P41*Q41</f>
        <v>1188880.2983158273</v>
      </c>
      <c r="S41" s="65">
        <f t="shared" si="4"/>
        <v>23</v>
      </c>
      <c r="T41" s="50">
        <f t="shared" si="5"/>
        <v>1093769.8744505609</v>
      </c>
      <c r="U41" s="66">
        <f t="shared" si="6"/>
        <v>-8.0000000000000168E-2</v>
      </c>
    </row>
    <row r="42" spans="1:21" x14ac:dyDescent="0.2">
      <c r="A42" s="65" t="str">
        <f t="shared" si="13"/>
        <v>454</v>
      </c>
      <c r="B42" s="32" t="s">
        <v>206</v>
      </c>
      <c r="C42" s="29" t="s">
        <v>268</v>
      </c>
      <c r="D42" s="29" t="s">
        <v>268</v>
      </c>
      <c r="E42" s="35" t="s">
        <v>315</v>
      </c>
      <c r="F42" s="29" t="s">
        <v>266</v>
      </c>
      <c r="G42" s="31" t="s">
        <v>318</v>
      </c>
      <c r="H42" s="33">
        <v>6.0909000000000004</v>
      </c>
      <c r="I42" s="34">
        <v>3.7</v>
      </c>
      <c r="J42" s="27">
        <f>H42*Input!$C$15</f>
        <v>37322.820661807105</v>
      </c>
      <c r="K42" s="27">
        <f>H42*Input!$C$13</f>
        <v>2946.5337840000002</v>
      </c>
      <c r="L42" s="27">
        <f t="shared" si="1"/>
        <v>40269.354445807105</v>
      </c>
      <c r="M42" s="27">
        <f>L42*Input!$C$17</f>
        <v>10761.703090160829</v>
      </c>
      <c r="N42" s="27">
        <f t="shared" si="2"/>
        <v>29507.651355646274</v>
      </c>
      <c r="O42" s="30">
        <f>(Input!$C$21*'Master Table'!G42)+Input!$C$20</f>
        <v>7494.2400000000007</v>
      </c>
      <c r="P42" s="27">
        <f t="shared" si="3"/>
        <v>32775.114445807107</v>
      </c>
      <c r="Q42" s="29">
        <f>VLOOKUP(A42,'Good Samaritan Hospital'!$G:$I,3,FALSE)</f>
        <v>46</v>
      </c>
      <c r="R42" s="55">
        <f t="shared" si="14"/>
        <v>1507655.264507127</v>
      </c>
      <c r="S42" s="65">
        <f t="shared" si="4"/>
        <v>42</v>
      </c>
      <c r="T42" s="50">
        <f t="shared" si="5"/>
        <v>1376554.8067238985</v>
      </c>
      <c r="U42" s="66">
        <f t="shared" si="6"/>
        <v>-8.6956521739130474E-2</v>
      </c>
    </row>
    <row r="43" spans="1:21" x14ac:dyDescent="0.2">
      <c r="A43" s="65" t="str">
        <f t="shared" si="13"/>
        <v>455</v>
      </c>
      <c r="B43" s="32" t="s">
        <v>230</v>
      </c>
      <c r="C43" s="29" t="s">
        <v>268</v>
      </c>
      <c r="D43" s="29" t="s">
        <v>268</v>
      </c>
      <c r="E43" s="35" t="s">
        <v>315</v>
      </c>
      <c r="F43" s="29" t="s">
        <v>266</v>
      </c>
      <c r="G43" s="31" t="s">
        <v>319</v>
      </c>
      <c r="H43" s="33">
        <v>4.7880000000000003</v>
      </c>
      <c r="I43" s="34">
        <v>2.4</v>
      </c>
      <c r="J43" s="27">
        <f>H43*Input!$C$15</f>
        <v>29339.12317206528</v>
      </c>
      <c r="K43" s="27">
        <f>H43*Input!$C$13</f>
        <v>2316.2428800000002</v>
      </c>
      <c r="L43" s="27">
        <f t="shared" si="1"/>
        <v>31655.366052065281</v>
      </c>
      <c r="M43" s="27">
        <f>L43*Input!$C$17</f>
        <v>8459.6749898520829</v>
      </c>
      <c r="N43" s="27">
        <f t="shared" si="2"/>
        <v>23195.691062213198</v>
      </c>
      <c r="O43" s="30">
        <f>(Input!$C$21*'Master Table'!G43)+Input!$C$20</f>
        <v>5620.68</v>
      </c>
      <c r="P43" s="27">
        <f t="shared" si="3"/>
        <v>26034.686052065281</v>
      </c>
      <c r="Q43" s="29">
        <f>VLOOKUP(A43,'Good Samaritan Hospital'!$G:$I,3,FALSE)</f>
        <v>42</v>
      </c>
      <c r="R43" s="55">
        <f t="shared" si="14"/>
        <v>1093456.8141867418</v>
      </c>
      <c r="S43" s="65">
        <f t="shared" si="4"/>
        <v>39</v>
      </c>
      <c r="T43" s="50">
        <f t="shared" si="5"/>
        <v>1015352.7560305459</v>
      </c>
      <c r="U43" s="66">
        <f t="shared" si="6"/>
        <v>-7.1428571428571494E-2</v>
      </c>
    </row>
    <row r="44" spans="1:21" x14ac:dyDescent="0.2">
      <c r="A44" s="65" t="str">
        <f t="shared" si="13"/>
        <v>460</v>
      </c>
      <c r="B44" s="32" t="s">
        <v>222</v>
      </c>
      <c r="C44" s="29" t="s">
        <v>263</v>
      </c>
      <c r="D44" s="29" t="s">
        <v>268</v>
      </c>
      <c r="E44" s="35" t="s">
        <v>315</v>
      </c>
      <c r="F44" s="29" t="s">
        <v>266</v>
      </c>
      <c r="G44" s="31" t="s">
        <v>320</v>
      </c>
      <c r="H44" s="33">
        <v>3.766</v>
      </c>
      <c r="I44" s="34">
        <v>2.8</v>
      </c>
      <c r="J44" s="27">
        <f>H44*Input!$C$15</f>
        <v>23076.678752296957</v>
      </c>
      <c r="K44" s="27">
        <f>H44*Input!$C$13</f>
        <v>1821.84016</v>
      </c>
      <c r="L44" s="27">
        <f t="shared" si="1"/>
        <v>24898.518912296957</v>
      </c>
      <c r="M44" s="27">
        <f>L44*Input!$C$17</f>
        <v>6653.9548896789756</v>
      </c>
      <c r="N44" s="27">
        <f t="shared" si="2"/>
        <v>18244.564022617982</v>
      </c>
      <c r="O44" s="30">
        <f>(Input!$C$21*'Master Table'!G44)+Input!$C$20</f>
        <v>6197.16</v>
      </c>
      <c r="P44" s="27">
        <f t="shared" si="3"/>
        <v>18701.358912296957</v>
      </c>
      <c r="Q44" s="29">
        <f>VLOOKUP(A44,'Good Samaritan Hospital'!$G:$I,3,FALSE)</f>
        <v>16</v>
      </c>
      <c r="R44" s="55">
        <f t="shared" ref="R44:R52" si="15">P44*Q44</f>
        <v>299221.74259675131</v>
      </c>
      <c r="S44" s="65">
        <f t="shared" si="4"/>
        <v>15</v>
      </c>
      <c r="T44" s="50">
        <f t="shared" si="5"/>
        <v>280520.38368445437</v>
      </c>
      <c r="U44" s="66">
        <f t="shared" si="6"/>
        <v>-6.2499999999999951E-2</v>
      </c>
    </row>
    <row r="45" spans="1:21" x14ac:dyDescent="0.2">
      <c r="A45" s="65" t="str">
        <f t="shared" si="13"/>
        <v>470</v>
      </c>
      <c r="B45" s="32" t="s">
        <v>239</v>
      </c>
      <c r="C45" s="29" t="s">
        <v>263</v>
      </c>
      <c r="D45" s="29" t="s">
        <v>268</v>
      </c>
      <c r="E45" s="35" t="s">
        <v>315</v>
      </c>
      <c r="F45" s="29" t="s">
        <v>266</v>
      </c>
      <c r="G45" s="31" t="s">
        <v>321</v>
      </c>
      <c r="H45" s="33">
        <v>1.9118999999999999</v>
      </c>
      <c r="I45" s="34">
        <v>1.7</v>
      </c>
      <c r="J45" s="27">
        <f>H45*Input!$C$15</f>
        <v>11715.428068644862</v>
      </c>
      <c r="K45" s="27">
        <f>H45*Input!$C$13</f>
        <v>924.90074399999992</v>
      </c>
      <c r="L45" s="27">
        <f t="shared" si="1"/>
        <v>12640.328812644862</v>
      </c>
      <c r="M45" s="27">
        <f>L45*Input!$C$17</f>
        <v>3378.0393928776512</v>
      </c>
      <c r="N45" s="27">
        <f t="shared" si="2"/>
        <v>9262.2894197672103</v>
      </c>
      <c r="O45" s="30">
        <f>(Input!$C$21*'Master Table'!G45)+Input!$C$20</f>
        <v>4611.84</v>
      </c>
      <c r="P45" s="27">
        <f t="shared" si="3"/>
        <v>8028.4888126448623</v>
      </c>
      <c r="Q45" s="29">
        <f>VLOOKUP(A45,'Good Samaritan Hospital'!$G:$I,3,FALSE)</f>
        <v>31</v>
      </c>
      <c r="R45" s="55">
        <f t="shared" si="15"/>
        <v>248883.15319199074</v>
      </c>
      <c r="S45" s="65">
        <f t="shared" si="4"/>
        <v>29</v>
      </c>
      <c r="T45" s="50">
        <f t="shared" si="5"/>
        <v>232826.17556670101</v>
      </c>
      <c r="U45" s="66">
        <f t="shared" si="6"/>
        <v>-6.4516129032258077E-2</v>
      </c>
    </row>
    <row r="46" spans="1:21" x14ac:dyDescent="0.2">
      <c r="A46" s="65" t="str">
        <f t="shared" si="13"/>
        <v>481</v>
      </c>
      <c r="B46" s="32" t="s">
        <v>194</v>
      </c>
      <c r="C46" s="29" t="s">
        <v>263</v>
      </c>
      <c r="D46" s="29" t="s">
        <v>263</v>
      </c>
      <c r="E46" s="35" t="s">
        <v>315</v>
      </c>
      <c r="F46" s="29" t="s">
        <v>266</v>
      </c>
      <c r="G46" s="31" t="s">
        <v>322</v>
      </c>
      <c r="H46" s="33">
        <v>2.1124000000000001</v>
      </c>
      <c r="I46" s="34">
        <v>4.4000000000000004</v>
      </c>
      <c r="J46" s="27">
        <f>H46*Input!$C$15</f>
        <v>12944.019170566144</v>
      </c>
      <c r="K46" s="27">
        <f>H46*Input!$C$13</f>
        <v>1021.894624</v>
      </c>
      <c r="L46" s="27">
        <f t="shared" si="1"/>
        <v>13965.913794566144</v>
      </c>
      <c r="M46" s="27">
        <f>L46*Input!$C$17</f>
        <v>3732.2927002012402</v>
      </c>
      <c r="N46" s="27">
        <f t="shared" si="2"/>
        <v>10233.621094364904</v>
      </c>
      <c r="O46" s="30">
        <f>(Input!$C$21*'Master Table'!G46)+Input!$C$20</f>
        <v>8503.0800000000017</v>
      </c>
      <c r="P46" s="27">
        <f t="shared" si="3"/>
        <v>5462.8337945661424</v>
      </c>
      <c r="Q46" s="29">
        <f>VLOOKUP(A46,'Good Samaritan Hospital'!$G:$I,3,FALSE)</f>
        <v>22</v>
      </c>
      <c r="R46" s="55">
        <f t="shared" si="15"/>
        <v>120182.34348045514</v>
      </c>
      <c r="S46" s="65">
        <f t="shared" si="4"/>
        <v>20</v>
      </c>
      <c r="T46" s="50">
        <f t="shared" si="5"/>
        <v>109256.67589132284</v>
      </c>
      <c r="U46" s="66">
        <f t="shared" si="6"/>
        <v>-9.0909090909090995E-2</v>
      </c>
    </row>
    <row r="47" spans="1:21" x14ac:dyDescent="0.2">
      <c r="A47" s="65" t="str">
        <f t="shared" si="13"/>
        <v>483</v>
      </c>
      <c r="B47" s="32" t="s">
        <v>241</v>
      </c>
      <c r="C47" s="29" t="s">
        <v>268</v>
      </c>
      <c r="D47" s="29" t="s">
        <v>268</v>
      </c>
      <c r="E47" s="35" t="s">
        <v>315</v>
      </c>
      <c r="F47" s="29" t="s">
        <v>266</v>
      </c>
      <c r="G47" s="31" t="s">
        <v>323</v>
      </c>
      <c r="H47" s="33">
        <v>2.3576000000000001</v>
      </c>
      <c r="I47" s="34">
        <v>1.4</v>
      </c>
      <c r="J47" s="27">
        <f>H47*Input!$C$15</f>
        <v>14446.515620397056</v>
      </c>
      <c r="K47" s="27">
        <f>H47*Input!$C$13</f>
        <v>1140.5125760000001</v>
      </c>
      <c r="L47" s="27">
        <f t="shared" si="1"/>
        <v>15587.028196397056</v>
      </c>
      <c r="M47" s="27">
        <f>L47*Input!$C$17</f>
        <v>4165.5241762897385</v>
      </c>
      <c r="N47" s="27">
        <f t="shared" si="2"/>
        <v>11421.504020107317</v>
      </c>
      <c r="O47" s="30">
        <f>(Input!$C$21*'Master Table'!G47)+Input!$C$20</f>
        <v>4179.4799999999996</v>
      </c>
      <c r="P47" s="27">
        <f t="shared" si="3"/>
        <v>11407.548196397056</v>
      </c>
      <c r="Q47" s="29">
        <f>VLOOKUP(A47,'Good Samaritan Hospital'!$G:$I,3,FALSE)</f>
        <v>19</v>
      </c>
      <c r="R47" s="55">
        <f t="shared" si="15"/>
        <v>216743.41573154405</v>
      </c>
      <c r="S47" s="65">
        <f t="shared" si="4"/>
        <v>17</v>
      </c>
      <c r="T47" s="50">
        <f t="shared" si="5"/>
        <v>193928.31933874995</v>
      </c>
      <c r="U47" s="66">
        <f t="shared" si="6"/>
        <v>-0.10526315789473681</v>
      </c>
    </row>
    <row r="48" spans="1:21" x14ac:dyDescent="0.2">
      <c r="A48" s="65" t="str">
        <f t="shared" si="13"/>
        <v>522</v>
      </c>
      <c r="B48" s="32" t="s">
        <v>199</v>
      </c>
      <c r="C48" s="29" t="s">
        <v>263</v>
      </c>
      <c r="D48" s="29" t="s">
        <v>263</v>
      </c>
      <c r="E48" s="35" t="s">
        <v>315</v>
      </c>
      <c r="F48" s="29" t="s">
        <v>266</v>
      </c>
      <c r="G48" s="31" t="s">
        <v>324</v>
      </c>
      <c r="H48" s="33">
        <v>2.1728999999999998</v>
      </c>
      <c r="I48" s="34">
        <v>4</v>
      </c>
      <c r="J48" s="27">
        <f>H48*Input!$C$15</f>
        <v>13314.741173889022</v>
      </c>
      <c r="K48" s="27">
        <f>H48*Input!$C$13</f>
        <v>1051.162104</v>
      </c>
      <c r="L48" s="27">
        <f t="shared" si="1"/>
        <v>14365.903277889021</v>
      </c>
      <c r="M48" s="27">
        <f>L48*Input!$C$17</f>
        <v>3839.1870896928958</v>
      </c>
      <c r="N48" s="27">
        <f t="shared" si="2"/>
        <v>10526.716188196126</v>
      </c>
      <c r="O48" s="30">
        <f>(Input!$C$21*'Master Table'!G48)+Input!$C$20</f>
        <v>7926.6</v>
      </c>
      <c r="P48" s="27">
        <f t="shared" si="3"/>
        <v>6439.303277889021</v>
      </c>
      <c r="Q48" s="29">
        <f>VLOOKUP(A48,'Good Samaritan Hospital'!$G:$I,3,FALSE)</f>
        <v>14</v>
      </c>
      <c r="R48" s="55">
        <f t="shared" si="15"/>
        <v>90150.245890446298</v>
      </c>
      <c r="S48" s="65">
        <f t="shared" si="4"/>
        <v>13</v>
      </c>
      <c r="T48" s="50">
        <f t="shared" si="5"/>
        <v>83710.942612557279</v>
      </c>
      <c r="U48" s="66">
        <f t="shared" si="6"/>
        <v>-7.1428571428571411E-2</v>
      </c>
    </row>
    <row r="49" spans="1:21" x14ac:dyDescent="0.2">
      <c r="A49" s="65" t="str">
        <f t="shared" si="13"/>
        <v>552</v>
      </c>
      <c r="B49" s="32" t="s">
        <v>224</v>
      </c>
      <c r="C49" s="29" t="s">
        <v>263</v>
      </c>
      <c r="D49" s="29" t="s">
        <v>268</v>
      </c>
      <c r="E49" s="35" t="s">
        <v>315</v>
      </c>
      <c r="F49" s="29" t="s">
        <v>271</v>
      </c>
      <c r="G49" s="31" t="s">
        <v>325</v>
      </c>
      <c r="H49" s="33">
        <v>0.96050000000000002</v>
      </c>
      <c r="I49" s="34">
        <v>2.8</v>
      </c>
      <c r="J49" s="27">
        <f>H49*Input!$C$15</f>
        <v>5885.5947800268796</v>
      </c>
      <c r="K49" s="27">
        <f>H49*Input!$C$13</f>
        <v>464.65147999999999</v>
      </c>
      <c r="L49" s="27">
        <f t="shared" si="1"/>
        <v>6350.2462600268791</v>
      </c>
      <c r="M49" s="27">
        <f>L49*Input!$C$17</f>
        <v>1697.0588612683632</v>
      </c>
      <c r="N49" s="27">
        <f t="shared" si="2"/>
        <v>4653.1873987585159</v>
      </c>
      <c r="O49" s="30">
        <f>(Input!$C$21*'Master Table'!G49)+Input!$C$20</f>
        <v>6197.16</v>
      </c>
      <c r="P49" s="27">
        <f t="shared" si="3"/>
        <v>153.08626002687924</v>
      </c>
      <c r="Q49" s="29">
        <f>VLOOKUP(A49,'Good Samaritan Hospital'!$G:$I,3,FALSE)</f>
        <v>18</v>
      </c>
      <c r="R49" s="55">
        <f t="shared" si="15"/>
        <v>2755.5526804838264</v>
      </c>
      <c r="S49" s="65">
        <f t="shared" si="4"/>
        <v>17</v>
      </c>
      <c r="T49" s="50">
        <f t="shared" si="5"/>
        <v>2602.4664204569472</v>
      </c>
      <c r="U49" s="66">
        <f t="shared" si="6"/>
        <v>-5.5555555555555552E-2</v>
      </c>
    </row>
    <row r="50" spans="1:21" x14ac:dyDescent="0.2">
      <c r="A50" s="65" t="str">
        <f t="shared" si="13"/>
        <v>603</v>
      </c>
      <c r="B50" s="32" t="s">
        <v>216</v>
      </c>
      <c r="C50" s="29" t="s">
        <v>263</v>
      </c>
      <c r="D50" s="29" t="s">
        <v>268</v>
      </c>
      <c r="E50" s="35" t="s">
        <v>326</v>
      </c>
      <c r="F50" s="29" t="s">
        <v>271</v>
      </c>
      <c r="G50" s="31" t="s">
        <v>328</v>
      </c>
      <c r="H50" s="33">
        <v>0.88180000000000003</v>
      </c>
      <c r="I50" s="34">
        <v>3.2</v>
      </c>
      <c r="J50" s="27">
        <f>H50*Input!$C$15</f>
        <v>5403.3497938862074</v>
      </c>
      <c r="K50" s="27">
        <f>H50*Input!$C$13</f>
        <v>426.57956799999999</v>
      </c>
      <c r="L50" s="27">
        <f t="shared" si="1"/>
        <v>5829.9293618862075</v>
      </c>
      <c r="M50" s="27">
        <f>L50*Input!$C$17</f>
        <v>1558.0078124585557</v>
      </c>
      <c r="N50" s="27">
        <f t="shared" si="2"/>
        <v>4271.9215494276523</v>
      </c>
      <c r="O50" s="30">
        <f>(Input!$C$21*'Master Table'!G50)+Input!$C$20</f>
        <v>6773.64</v>
      </c>
      <c r="P50" s="27">
        <f t="shared" si="3"/>
        <v>-943.71063811379281</v>
      </c>
      <c r="Q50" s="29">
        <f>VLOOKUP(A50,'Good Samaritan Hospital'!$G:$I,3,FALSE)</f>
        <v>18</v>
      </c>
      <c r="R50" s="55">
        <f t="shared" si="15"/>
        <v>-16986.791486048271</v>
      </c>
      <c r="S50" s="65">
        <f t="shared" si="4"/>
        <v>17</v>
      </c>
      <c r="T50" s="50">
        <f t="shared" si="5"/>
        <v>-16043.080847934478</v>
      </c>
      <c r="U50" s="66">
        <f t="shared" si="6"/>
        <v>-5.5555555555555552E-2</v>
      </c>
    </row>
    <row r="51" spans="1:21" x14ac:dyDescent="0.2">
      <c r="A51" s="65" t="str">
        <f t="shared" si="13"/>
        <v>621</v>
      </c>
      <c r="B51" s="32" t="s">
        <v>242</v>
      </c>
      <c r="C51" s="29" t="s">
        <v>268</v>
      </c>
      <c r="D51" s="29" t="s">
        <v>268</v>
      </c>
      <c r="E51" s="35" t="s">
        <v>329</v>
      </c>
      <c r="F51" s="29" t="s">
        <v>266</v>
      </c>
      <c r="G51" s="31" t="s">
        <v>331</v>
      </c>
      <c r="H51" s="33">
        <v>1.5549999999999999</v>
      </c>
      <c r="I51" s="34">
        <v>1.3</v>
      </c>
      <c r="J51" s="27">
        <f>H51*Input!$C$15</f>
        <v>9528.4746308607992</v>
      </c>
      <c r="K51" s="27">
        <f>H51*Input!$C$13</f>
        <v>752.24680000000001</v>
      </c>
      <c r="L51" s="27">
        <f t="shared" si="1"/>
        <v>10280.7214308608</v>
      </c>
      <c r="M51" s="27">
        <f>L51*Input!$C$17</f>
        <v>2747.4508373475328</v>
      </c>
      <c r="N51" s="27">
        <f t="shared" si="2"/>
        <v>7533.2705935132672</v>
      </c>
      <c r="O51" s="30">
        <f>(Input!$C$21*'Master Table'!G51)+Input!$C$20</f>
        <v>4035.3600000000006</v>
      </c>
      <c r="P51" s="27">
        <f t="shared" si="3"/>
        <v>6245.3614308607994</v>
      </c>
      <c r="Q51" s="29">
        <f>VLOOKUP(A51,'Good Samaritan Hospital'!$G:$I,3,FALSE)</f>
        <v>13</v>
      </c>
      <c r="R51" s="55">
        <f t="shared" si="15"/>
        <v>81189.698601190394</v>
      </c>
      <c r="S51" s="65">
        <f t="shared" si="4"/>
        <v>12</v>
      </c>
      <c r="T51" s="50">
        <f t="shared" si="5"/>
        <v>74944.337170329585</v>
      </c>
      <c r="U51" s="66">
        <f t="shared" si="6"/>
        <v>-7.6923076923077038E-2</v>
      </c>
    </row>
    <row r="52" spans="1:21" x14ac:dyDescent="0.2">
      <c r="A52" s="65" t="str">
        <f t="shared" si="13"/>
        <v>637</v>
      </c>
      <c r="B52" s="32" t="s">
        <v>202</v>
      </c>
      <c r="C52" s="29" t="s">
        <v>263</v>
      </c>
      <c r="D52" s="29" t="s">
        <v>268</v>
      </c>
      <c r="E52" s="35" t="s">
        <v>329</v>
      </c>
      <c r="F52" s="29" t="s">
        <v>271</v>
      </c>
      <c r="G52" s="31" t="s">
        <v>332</v>
      </c>
      <c r="H52" s="33">
        <v>1.3956999999999999</v>
      </c>
      <c r="I52" s="34">
        <v>3.9</v>
      </c>
      <c r="J52" s="27">
        <f>H52*Input!$C$15</f>
        <v>8552.3421493841906</v>
      </c>
      <c r="K52" s="27">
        <f>H52*Input!$C$13</f>
        <v>675.18383199999994</v>
      </c>
      <c r="L52" s="27">
        <f t="shared" si="1"/>
        <v>9227.5259813841913</v>
      </c>
      <c r="M52" s="27">
        <f>L52*Input!$C$17</f>
        <v>2465.9917258430555</v>
      </c>
      <c r="N52" s="27">
        <f t="shared" si="2"/>
        <v>6761.5342555411353</v>
      </c>
      <c r="O52" s="30">
        <f>(Input!$C$21*'Master Table'!G52)+Input!$C$20</f>
        <v>7782.4800000000005</v>
      </c>
      <c r="P52" s="27">
        <f t="shared" si="3"/>
        <v>1445.0459813841908</v>
      </c>
      <c r="Q52" s="29">
        <f>VLOOKUP(A52,'Good Samaritan Hospital'!$G:$I,3,FALSE)</f>
        <v>15</v>
      </c>
      <c r="R52" s="55">
        <f t="shared" si="15"/>
        <v>21675.689720762861</v>
      </c>
      <c r="S52" s="65">
        <f t="shared" si="4"/>
        <v>14</v>
      </c>
      <c r="T52" s="50">
        <f t="shared" si="5"/>
        <v>20230.643739378669</v>
      </c>
      <c r="U52" s="66">
        <f t="shared" si="6"/>
        <v>-6.6666666666666707E-2</v>
      </c>
    </row>
    <row r="53" spans="1:21" x14ac:dyDescent="0.2">
      <c r="A53" s="65" t="str">
        <f t="shared" si="13"/>
        <v>640</v>
      </c>
      <c r="B53" s="32" t="s">
        <v>215</v>
      </c>
      <c r="C53" s="29" t="s">
        <v>263</v>
      </c>
      <c r="D53" s="29" t="s">
        <v>268</v>
      </c>
      <c r="E53" s="35" t="s">
        <v>329</v>
      </c>
      <c r="F53" s="29" t="s">
        <v>271</v>
      </c>
      <c r="G53" s="31" t="s">
        <v>333</v>
      </c>
      <c r="H53" s="33">
        <v>1.2653000000000001</v>
      </c>
      <c r="I53" s="34">
        <v>3.4</v>
      </c>
      <c r="J53" s="27">
        <f>H53*Input!$C$15</f>
        <v>7753.2983604039682</v>
      </c>
      <c r="K53" s="27">
        <f>H53*Input!$C$13</f>
        <v>612.10152800000003</v>
      </c>
      <c r="L53" s="27">
        <f t="shared" si="1"/>
        <v>8365.3998884039684</v>
      </c>
      <c r="M53" s="27">
        <f>L53*Input!$C$17</f>
        <v>2235.5945623767416</v>
      </c>
      <c r="N53" s="27">
        <f t="shared" si="2"/>
        <v>6129.8053260272263</v>
      </c>
      <c r="O53" s="30">
        <f>(Input!$C$21*'Master Table'!G53)+Input!$C$20</f>
        <v>7061.88</v>
      </c>
      <c r="P53" s="27">
        <f t="shared" si="3"/>
        <v>1303.5198884039683</v>
      </c>
      <c r="Q53" s="29">
        <f>VLOOKUP(A53,'Good Samaritan Hospital'!$G:$I,3,FALSE)</f>
        <v>22</v>
      </c>
      <c r="R53" s="55">
        <f t="shared" ref="R53:R58" si="16">P53*Q53</f>
        <v>28677.437544887303</v>
      </c>
      <c r="S53" s="65">
        <f t="shared" si="4"/>
        <v>20</v>
      </c>
      <c r="T53" s="50">
        <f t="shared" si="5"/>
        <v>26070.397768079365</v>
      </c>
      <c r="U53" s="66">
        <f t="shared" si="6"/>
        <v>-9.0909090909090967E-2</v>
      </c>
    </row>
    <row r="54" spans="1:21" x14ac:dyDescent="0.2">
      <c r="A54" s="65" t="str">
        <f t="shared" si="13"/>
        <v>641</v>
      </c>
      <c r="B54" s="32" t="s">
        <v>228</v>
      </c>
      <c r="C54" s="29" t="s">
        <v>263</v>
      </c>
      <c r="D54" s="29" t="s">
        <v>268</v>
      </c>
      <c r="E54" s="35" t="s">
        <v>329</v>
      </c>
      <c r="F54" s="29" t="s">
        <v>271</v>
      </c>
      <c r="G54" s="31" t="s">
        <v>334</v>
      </c>
      <c r="H54" s="33">
        <v>0.7702</v>
      </c>
      <c r="I54" s="34">
        <v>2.6</v>
      </c>
      <c r="J54" s="27">
        <f>H54*Input!$C$15</f>
        <v>4719.5055695749115</v>
      </c>
      <c r="K54" s="27">
        <f>H54*Input!$C$13</f>
        <v>372.59195199999999</v>
      </c>
      <c r="L54" s="27">
        <f t="shared" si="1"/>
        <v>5092.0975215749113</v>
      </c>
      <c r="M54" s="27">
        <f>L54*Input!$C$17</f>
        <v>1360.827417958244</v>
      </c>
      <c r="N54" s="27">
        <f t="shared" si="2"/>
        <v>3731.2701036166673</v>
      </c>
      <c r="O54" s="30">
        <f>(Input!$C$21*'Master Table'!G54)+Input!$C$20</f>
        <v>5908.92</v>
      </c>
      <c r="P54" s="27">
        <f t="shared" si="3"/>
        <v>-816.82247842508878</v>
      </c>
      <c r="Q54" s="29">
        <f>VLOOKUP(A54,'Good Samaritan Hospital'!$G:$I,3,FALSE)</f>
        <v>22</v>
      </c>
      <c r="R54" s="55">
        <f t="shared" si="16"/>
        <v>-17970.094525351953</v>
      </c>
      <c r="S54" s="65">
        <f t="shared" si="4"/>
        <v>20</v>
      </c>
      <c r="T54" s="50">
        <f t="shared" si="5"/>
        <v>-16336.449568501776</v>
      </c>
      <c r="U54" s="66">
        <f t="shared" si="6"/>
        <v>-9.0909090909090912E-2</v>
      </c>
    </row>
    <row r="55" spans="1:21" x14ac:dyDescent="0.2">
      <c r="A55" s="65" t="str">
        <f t="shared" si="13"/>
        <v>682</v>
      </c>
      <c r="B55" s="32" t="s">
        <v>196</v>
      </c>
      <c r="C55" s="29" t="s">
        <v>263</v>
      </c>
      <c r="D55" s="29" t="s">
        <v>268</v>
      </c>
      <c r="E55" s="35" t="s">
        <v>335</v>
      </c>
      <c r="F55" s="29" t="s">
        <v>271</v>
      </c>
      <c r="G55" s="31" t="s">
        <v>337</v>
      </c>
      <c r="H55" s="33">
        <v>1.4865999999999999</v>
      </c>
      <c r="I55" s="34">
        <v>4.3</v>
      </c>
      <c r="J55" s="27">
        <f>H55*Input!$C$15</f>
        <v>9109.3442998312948</v>
      </c>
      <c r="K55" s="27">
        <f>H55*Input!$C$13</f>
        <v>719.15761599999996</v>
      </c>
      <c r="L55" s="27">
        <f t="shared" si="1"/>
        <v>9828.5019158312953</v>
      </c>
      <c r="M55" s="27">
        <f>L55*Input!$C$17</f>
        <v>2626.5983374925031</v>
      </c>
      <c r="N55" s="27">
        <f t="shared" si="2"/>
        <v>7201.9035783387917</v>
      </c>
      <c r="O55" s="30">
        <f>(Input!$C$21*'Master Table'!G55)+Input!$C$20</f>
        <v>8358.9599999999991</v>
      </c>
      <c r="P55" s="27">
        <f t="shared" si="3"/>
        <v>1469.5419158312961</v>
      </c>
      <c r="Q55" s="29">
        <f>VLOOKUP(A55,'Good Samaritan Hospital'!$G:$I,3,FALSE)</f>
        <v>37</v>
      </c>
      <c r="R55" s="55">
        <f t="shared" si="16"/>
        <v>54373.050885757955</v>
      </c>
      <c r="S55" s="65">
        <f t="shared" si="4"/>
        <v>34</v>
      </c>
      <c r="T55" s="50">
        <f t="shared" si="5"/>
        <v>49964.425138264065</v>
      </c>
      <c r="U55" s="66">
        <f t="shared" si="6"/>
        <v>-8.1081081081081113E-2</v>
      </c>
    </row>
    <row r="56" spans="1:21" x14ac:dyDescent="0.2">
      <c r="A56" s="65" t="str">
        <f t="shared" si="13"/>
        <v>683</v>
      </c>
      <c r="B56" s="32" t="s">
        <v>217</v>
      </c>
      <c r="C56" s="29" t="s">
        <v>263</v>
      </c>
      <c r="D56" s="29" t="s">
        <v>268</v>
      </c>
      <c r="E56" s="35" t="s">
        <v>335</v>
      </c>
      <c r="F56" s="29" t="s">
        <v>271</v>
      </c>
      <c r="G56" s="31" t="s">
        <v>338</v>
      </c>
      <c r="H56" s="33">
        <v>0.89490000000000003</v>
      </c>
      <c r="I56" s="34">
        <v>3.1</v>
      </c>
      <c r="J56" s="27">
        <f>H56*Input!$C$15</f>
        <v>5483.621830969344</v>
      </c>
      <c r="K56" s="27">
        <f>H56*Input!$C$13</f>
        <v>432.91682400000002</v>
      </c>
      <c r="L56" s="27">
        <f t="shared" si="1"/>
        <v>5916.538654969344</v>
      </c>
      <c r="M56" s="27">
        <f>L56*Input!$C$17</f>
        <v>1581.1535397699724</v>
      </c>
      <c r="N56" s="27">
        <f t="shared" si="2"/>
        <v>4335.3851151993713</v>
      </c>
      <c r="O56" s="30">
        <f>(Input!$C$21*'Master Table'!G56)+Input!$C$20</f>
        <v>6629.52</v>
      </c>
      <c r="P56" s="27">
        <f t="shared" si="3"/>
        <v>-712.98134503065648</v>
      </c>
      <c r="Q56" s="29">
        <f>VLOOKUP(A56,'Good Samaritan Hospital'!$G:$I,3,FALSE)</f>
        <v>36</v>
      </c>
      <c r="R56" s="55">
        <f t="shared" si="16"/>
        <v>-25667.328421103633</v>
      </c>
      <c r="S56" s="65">
        <f t="shared" si="4"/>
        <v>33</v>
      </c>
      <c r="T56" s="50">
        <f t="shared" si="5"/>
        <v>-23528.384386011665</v>
      </c>
      <c r="U56" s="66">
        <f t="shared" si="6"/>
        <v>-8.3333333333333301E-2</v>
      </c>
    </row>
    <row r="57" spans="1:21" x14ac:dyDescent="0.2">
      <c r="A57" s="65" t="str">
        <f t="shared" si="13"/>
        <v>689</v>
      </c>
      <c r="B57" s="32" t="s">
        <v>203</v>
      </c>
      <c r="C57" s="29" t="s">
        <v>263</v>
      </c>
      <c r="D57" s="29" t="s">
        <v>268</v>
      </c>
      <c r="E57" s="35" t="s">
        <v>335</v>
      </c>
      <c r="F57" s="29" t="s">
        <v>271</v>
      </c>
      <c r="G57" s="31" t="s">
        <v>339</v>
      </c>
      <c r="H57" s="33">
        <v>1.1471</v>
      </c>
      <c r="I57" s="34">
        <v>3.8</v>
      </c>
      <c r="J57" s="27">
        <f>H57*Input!$C$15</f>
        <v>7029.0117357301751</v>
      </c>
      <c r="K57" s="27">
        <f>H57*Input!$C$13</f>
        <v>554.92109600000003</v>
      </c>
      <c r="L57" s="27">
        <f t="shared" si="1"/>
        <v>7583.9328317301752</v>
      </c>
      <c r="M57" s="27">
        <f>L57*Input!$C$17</f>
        <v>2026.7529617500672</v>
      </c>
      <c r="N57" s="27">
        <f t="shared" si="2"/>
        <v>5557.1798699801075</v>
      </c>
      <c r="O57" s="30">
        <f>(Input!$C$21*'Master Table'!G57)+Input!$C$20</f>
        <v>7638.36</v>
      </c>
      <c r="P57" s="27">
        <f t="shared" si="3"/>
        <v>-54.427168269824506</v>
      </c>
      <c r="Q57" s="29">
        <f>VLOOKUP(A57,'Good Samaritan Hospital'!$G:$I,3,FALSE)</f>
        <v>36</v>
      </c>
      <c r="R57" s="55">
        <f t="shared" si="16"/>
        <v>-1959.3780577136822</v>
      </c>
      <c r="S57" s="65">
        <f t="shared" si="4"/>
        <v>33</v>
      </c>
      <c r="T57" s="50">
        <f t="shared" si="5"/>
        <v>-1796.0965529042087</v>
      </c>
      <c r="U57" s="66">
        <f t="shared" si="6"/>
        <v>-8.3333333333333329E-2</v>
      </c>
    </row>
    <row r="58" spans="1:21" x14ac:dyDescent="0.2">
      <c r="A58" s="65" t="str">
        <f t="shared" si="13"/>
        <v>690</v>
      </c>
      <c r="B58" s="32" t="s">
        <v>223</v>
      </c>
      <c r="C58" s="29" t="s">
        <v>263</v>
      </c>
      <c r="D58" s="29" t="s">
        <v>268</v>
      </c>
      <c r="E58" s="35" t="s">
        <v>335</v>
      </c>
      <c r="F58" s="29" t="s">
        <v>271</v>
      </c>
      <c r="G58" s="31" t="s">
        <v>340</v>
      </c>
      <c r="H58" s="33">
        <v>0.79559999999999997</v>
      </c>
      <c r="I58" s="34">
        <v>2.8</v>
      </c>
      <c r="J58" s="27">
        <f>H58*Input!$C$15</f>
        <v>4875.1475346063353</v>
      </c>
      <c r="K58" s="27">
        <f>H58*Input!$C$13</f>
        <v>384.879456</v>
      </c>
      <c r="L58" s="27">
        <f t="shared" si="1"/>
        <v>5260.0269906063349</v>
      </c>
      <c r="M58" s="27">
        <f>L58*Input!$C$17</f>
        <v>1405.7053930506088</v>
      </c>
      <c r="N58" s="27">
        <f t="shared" si="2"/>
        <v>3854.3215975557259</v>
      </c>
      <c r="O58" s="30">
        <f>(Input!$C$21*'Master Table'!G58)+Input!$C$20</f>
        <v>6197.16</v>
      </c>
      <c r="P58" s="27">
        <f t="shared" si="3"/>
        <v>-937.13300939366491</v>
      </c>
      <c r="Q58" s="29">
        <f>VLOOKUP(A58,'Good Samaritan Hospital'!$G:$I,3,FALSE)</f>
        <v>22</v>
      </c>
      <c r="R58" s="55">
        <f t="shared" si="16"/>
        <v>-20616.926206660628</v>
      </c>
      <c r="S58" s="65">
        <f t="shared" si="4"/>
        <v>20</v>
      </c>
      <c r="T58" s="50">
        <f t="shared" si="5"/>
        <v>-18742.660187873298</v>
      </c>
      <c r="U58" s="66">
        <f t="shared" si="6"/>
        <v>-9.0909090909090912E-2</v>
      </c>
    </row>
    <row r="59" spans="1:21" x14ac:dyDescent="0.2">
      <c r="A59" s="65" t="str">
        <f t="shared" si="13"/>
        <v>698</v>
      </c>
      <c r="B59" s="32" t="s">
        <v>189</v>
      </c>
      <c r="C59" s="29" t="s">
        <v>263</v>
      </c>
      <c r="D59" s="29" t="s">
        <v>268</v>
      </c>
      <c r="E59" s="35" t="s">
        <v>335</v>
      </c>
      <c r="F59" s="29" t="s">
        <v>271</v>
      </c>
      <c r="G59" s="31" t="s">
        <v>341</v>
      </c>
      <c r="H59" s="33">
        <v>1.6025</v>
      </c>
      <c r="I59" s="34">
        <v>4.8</v>
      </c>
      <c r="J59" s="27">
        <f>H59*Input!$C$15</f>
        <v>9819.537360742399</v>
      </c>
      <c r="K59" s="27">
        <f>H59*Input!$C$13</f>
        <v>775.22540000000004</v>
      </c>
      <c r="L59" s="27">
        <f t="shared" si="1"/>
        <v>10594.762760742398</v>
      </c>
      <c r="M59" s="27">
        <f>L59*Input!$C$17</f>
        <v>2831.3761844690807</v>
      </c>
      <c r="N59" s="27">
        <f t="shared" si="2"/>
        <v>7763.3865762733176</v>
      </c>
      <c r="O59" s="30">
        <f>(Input!$C$21*'Master Table'!G59)+Input!$C$20</f>
        <v>9079.5600000000013</v>
      </c>
      <c r="P59" s="27">
        <f t="shared" si="3"/>
        <v>1515.202760742397</v>
      </c>
      <c r="Q59" s="29">
        <f>VLOOKUP(A59,'Good Samaritan Hospital'!$G:$I,3,FALSE)</f>
        <v>16</v>
      </c>
      <c r="R59" s="55">
        <f>P59*Q59</f>
        <v>24243.244171878352</v>
      </c>
      <c r="S59" s="65">
        <f t="shared" si="4"/>
        <v>15</v>
      </c>
      <c r="T59" s="50">
        <f t="shared" si="5"/>
        <v>22728.041411135957</v>
      </c>
      <c r="U59" s="66">
        <f t="shared" si="6"/>
        <v>-6.2499999999999924E-2</v>
      </c>
    </row>
    <row r="60" spans="1:21" x14ac:dyDescent="0.2">
      <c r="A60" s="65" t="str">
        <f t="shared" si="13"/>
        <v>812</v>
      </c>
      <c r="B60" s="32" t="s">
        <v>225</v>
      </c>
      <c r="C60" s="29" t="s">
        <v>268</v>
      </c>
      <c r="D60" s="29" t="s">
        <v>268</v>
      </c>
      <c r="E60" s="35" t="s">
        <v>342</v>
      </c>
      <c r="F60" s="29" t="s">
        <v>271</v>
      </c>
      <c r="G60" s="31" t="s">
        <v>344</v>
      </c>
      <c r="H60" s="33">
        <v>0.89800000000000002</v>
      </c>
      <c r="I60" s="34">
        <v>2.7</v>
      </c>
      <c r="J60" s="27">
        <f>H60*Input!$C$15</f>
        <v>5502.6175038668798</v>
      </c>
      <c r="K60" s="27">
        <f>H60*Input!$C$13</f>
        <v>434.41647999999998</v>
      </c>
      <c r="L60" s="27">
        <f t="shared" si="1"/>
        <v>5937.0339838668797</v>
      </c>
      <c r="M60" s="27">
        <f>L60*Input!$C$17</f>
        <v>1586.6307729505365</v>
      </c>
      <c r="N60" s="27">
        <f t="shared" si="2"/>
        <v>4350.4032109163436</v>
      </c>
      <c r="O60" s="30">
        <f>(Input!$C$21*'Master Table'!G60)+Input!$C$20</f>
        <v>6053.0400000000009</v>
      </c>
      <c r="P60" s="27">
        <f t="shared" si="3"/>
        <v>-116.00601613312119</v>
      </c>
      <c r="Q60" s="29">
        <f>VLOOKUP(A60,'Good Samaritan Hospital'!$G:$I,3,FALSE)</f>
        <v>13</v>
      </c>
      <c r="R60" s="55">
        <f>P60*Q60</f>
        <v>-1508.0782097305755</v>
      </c>
      <c r="S60" s="65">
        <f t="shared" si="4"/>
        <v>12</v>
      </c>
      <c r="T60" s="50">
        <f t="shared" si="5"/>
        <v>-1392.0721935974543</v>
      </c>
      <c r="U60" s="66">
        <f t="shared" si="6"/>
        <v>-7.6923076923076927E-2</v>
      </c>
    </row>
    <row r="61" spans="1:21" x14ac:dyDescent="0.2">
      <c r="A61" s="65" t="str">
        <f t="shared" si="13"/>
        <v>847</v>
      </c>
      <c r="B61" s="32" t="s">
        <v>208</v>
      </c>
      <c r="C61" s="29" t="s">
        <v>268</v>
      </c>
      <c r="D61" s="29" t="s">
        <v>268</v>
      </c>
      <c r="E61" s="35" t="s">
        <v>345</v>
      </c>
      <c r="F61" s="29" t="s">
        <v>271</v>
      </c>
      <c r="G61" s="31" t="s">
        <v>347</v>
      </c>
      <c r="H61" s="33">
        <v>1.2181</v>
      </c>
      <c r="I61" s="34">
        <v>3.6</v>
      </c>
      <c r="J61" s="27">
        <f>H61*Input!$C$15</f>
        <v>7464.0739214479354</v>
      </c>
      <c r="K61" s="27">
        <f>H61*Input!$C$13</f>
        <v>589.268056</v>
      </c>
      <c r="L61" s="27">
        <f t="shared" si="1"/>
        <v>8053.3419774479353</v>
      </c>
      <c r="M61" s="27">
        <f>L61*Input!$C$17</f>
        <v>2152.1992700791188</v>
      </c>
      <c r="N61" s="27">
        <f t="shared" si="2"/>
        <v>5901.1427073688164</v>
      </c>
      <c r="O61" s="30">
        <f>(Input!$C$21*'Master Table'!G61)+Input!$C$20</f>
        <v>7350.1200000000008</v>
      </c>
      <c r="P61" s="27">
        <f t="shared" si="3"/>
        <v>703.22197744793448</v>
      </c>
      <c r="Q61" s="29">
        <f>VLOOKUP(A61,'Good Samaritan Hospital'!$G:$I,3,FALSE)</f>
        <v>11</v>
      </c>
      <c r="R61" s="55">
        <f>P61*Q61</f>
        <v>7735.4417519272793</v>
      </c>
      <c r="S61" s="65">
        <f t="shared" si="4"/>
        <v>10</v>
      </c>
      <c r="T61" s="50">
        <f t="shared" si="5"/>
        <v>7032.2197744793448</v>
      </c>
      <c r="U61" s="66">
        <f t="shared" si="6"/>
        <v>-9.0909090909090912E-2</v>
      </c>
    </row>
    <row r="62" spans="1:21" x14ac:dyDescent="0.2">
      <c r="A62" s="65" t="str">
        <f t="shared" si="13"/>
        <v>853</v>
      </c>
      <c r="B62" s="32" t="s">
        <v>179</v>
      </c>
      <c r="C62" s="29" t="s">
        <v>263</v>
      </c>
      <c r="D62" s="29" t="s">
        <v>268</v>
      </c>
      <c r="E62" s="35" t="s">
        <v>348</v>
      </c>
      <c r="F62" s="29" t="s">
        <v>266</v>
      </c>
      <c r="G62" s="31" t="s">
        <v>350</v>
      </c>
      <c r="H62" s="33">
        <v>4.9009999999999998</v>
      </c>
      <c r="I62" s="34">
        <v>9.6</v>
      </c>
      <c r="J62" s="27">
        <f>H62*Input!$C$15</f>
        <v>30031.546087362556</v>
      </c>
      <c r="K62" s="27">
        <f>H62*Input!$C$13</f>
        <v>2370.9077600000001</v>
      </c>
      <c r="L62" s="27">
        <f t="shared" si="1"/>
        <v>32402.453847362558</v>
      </c>
      <c r="M62" s="27">
        <f>L62*Input!$C$17</f>
        <v>8659.3289735307117</v>
      </c>
      <c r="N62" s="27">
        <f t="shared" si="2"/>
        <v>23743.124873831846</v>
      </c>
      <c r="O62" s="30">
        <f>(Input!$C$21*'Master Table'!G62)+Input!$C$20</f>
        <v>15997.32</v>
      </c>
      <c r="P62" s="27">
        <f t="shared" si="3"/>
        <v>16405.133847362558</v>
      </c>
      <c r="Q62" s="29">
        <f>VLOOKUP(A62,'Good Samaritan Hospital'!$G:$I,3,FALSE)</f>
        <v>33</v>
      </c>
      <c r="R62" s="55">
        <f>P62*Q62</f>
        <v>541369.41696296446</v>
      </c>
      <c r="S62" s="65">
        <f t="shared" si="4"/>
        <v>30</v>
      </c>
      <c r="T62" s="50">
        <f t="shared" si="5"/>
        <v>492154.01542087673</v>
      </c>
      <c r="U62" s="66">
        <f t="shared" si="6"/>
        <v>-9.0909090909090995E-2</v>
      </c>
    </row>
    <row r="63" spans="1:21" x14ac:dyDescent="0.2">
      <c r="A63" s="65" t="str">
        <f t="shared" si="13"/>
        <v>871</v>
      </c>
      <c r="B63" s="32" t="s">
        <v>187</v>
      </c>
      <c r="C63" s="29" t="s">
        <v>263</v>
      </c>
      <c r="D63" s="29" t="s">
        <v>268</v>
      </c>
      <c r="E63" s="35" t="s">
        <v>348</v>
      </c>
      <c r="F63" s="29" t="s">
        <v>271</v>
      </c>
      <c r="G63" s="31" t="s">
        <v>351</v>
      </c>
      <c r="H63" s="33">
        <v>1.9572000000000001</v>
      </c>
      <c r="I63" s="34">
        <v>5</v>
      </c>
      <c r="J63" s="27">
        <f>H63*Input!$C$15</f>
        <v>11993.009998405632</v>
      </c>
      <c r="K63" s="27">
        <f>H63*Input!$C$13</f>
        <v>946.81507199999999</v>
      </c>
      <c r="L63" s="27">
        <f t="shared" si="1"/>
        <v>12939.825070405632</v>
      </c>
      <c r="M63" s="27">
        <f>L63*Input!$C$17</f>
        <v>3458.0776712904126</v>
      </c>
      <c r="N63" s="27">
        <f t="shared" si="2"/>
        <v>9481.7473991152183</v>
      </c>
      <c r="O63" s="30">
        <f>(Input!$C$21*'Master Table'!G63)+Input!$C$20</f>
        <v>9367.7999999999993</v>
      </c>
      <c r="P63" s="27">
        <f t="shared" si="3"/>
        <v>3572.0250704056325</v>
      </c>
      <c r="Q63" s="29">
        <f>VLOOKUP(A63,'Good Samaritan Hospital'!$G:$I,3,FALSE)</f>
        <v>215</v>
      </c>
      <c r="R63" s="55">
        <f t="shared" ref="R63:R64" si="17">P63*Q63</f>
        <v>767985.39013721095</v>
      </c>
      <c r="S63" s="65">
        <f t="shared" si="4"/>
        <v>198</v>
      </c>
      <c r="T63" s="50">
        <f t="shared" si="5"/>
        <v>707260.96394031518</v>
      </c>
      <c r="U63" s="66">
        <f t="shared" si="6"/>
        <v>-7.9069767441860492E-2</v>
      </c>
    </row>
    <row r="64" spans="1:21" x14ac:dyDescent="0.2">
      <c r="A64" s="65" t="str">
        <f t="shared" si="13"/>
        <v>872</v>
      </c>
      <c r="B64" s="32" t="s">
        <v>210</v>
      </c>
      <c r="C64" s="29" t="s">
        <v>263</v>
      </c>
      <c r="D64" s="29" t="s">
        <v>268</v>
      </c>
      <c r="E64" s="35" t="s">
        <v>348</v>
      </c>
      <c r="F64" s="29" t="s">
        <v>271</v>
      </c>
      <c r="G64" s="31" t="s">
        <v>352</v>
      </c>
      <c r="H64" s="33">
        <v>1.028</v>
      </c>
      <c r="I64" s="34">
        <v>3.5</v>
      </c>
      <c r="J64" s="27">
        <f>H64*Input!$C$15</f>
        <v>6299.2102382796793</v>
      </c>
      <c r="K64" s="27">
        <f>H64*Input!$C$13</f>
        <v>497.30527999999998</v>
      </c>
      <c r="L64" s="27">
        <f t="shared" si="1"/>
        <v>6796.5155182796789</v>
      </c>
      <c r="M64" s="27">
        <f>L64*Input!$C$17</f>
        <v>1816.3211966516162</v>
      </c>
      <c r="N64" s="27">
        <f t="shared" si="2"/>
        <v>4980.1943216280624</v>
      </c>
      <c r="O64" s="30">
        <f>(Input!$C$21*'Master Table'!G64)+Input!$C$20</f>
        <v>7206</v>
      </c>
      <c r="P64" s="27">
        <f t="shared" si="3"/>
        <v>-409.48448172032113</v>
      </c>
      <c r="Q64" s="29">
        <f>VLOOKUP(A64,'Good Samaritan Hospital'!$G:$I,3,FALSE)</f>
        <v>42</v>
      </c>
      <c r="R64" s="55">
        <f t="shared" si="17"/>
        <v>-17198.348232253487</v>
      </c>
      <c r="S64" s="65">
        <f t="shared" si="4"/>
        <v>39</v>
      </c>
      <c r="T64" s="50">
        <f t="shared" si="5"/>
        <v>-15969.894787092524</v>
      </c>
      <c r="U64" s="66">
        <f t="shared" si="6"/>
        <v>-7.1428571428571425E-2</v>
      </c>
    </row>
    <row r="65" spans="1:21" x14ac:dyDescent="0.2">
      <c r="A65" s="65" t="str">
        <f t="shared" si="13"/>
        <v>917</v>
      </c>
      <c r="B65" s="32" t="s">
        <v>209</v>
      </c>
      <c r="C65" s="29" t="s">
        <v>263</v>
      </c>
      <c r="D65" s="29" t="s">
        <v>268</v>
      </c>
      <c r="E65" s="35" t="s">
        <v>353</v>
      </c>
      <c r="F65" s="29" t="s">
        <v>271</v>
      </c>
      <c r="G65" s="31" t="s">
        <v>355</v>
      </c>
      <c r="H65" s="33">
        <v>1.5225</v>
      </c>
      <c r="I65" s="34">
        <v>3.6</v>
      </c>
      <c r="J65" s="27">
        <f>H65*Input!$C$15</f>
        <v>9329.3264472575993</v>
      </c>
      <c r="K65" s="27">
        <f>H65*Input!$C$13</f>
        <v>736.52459999999996</v>
      </c>
      <c r="L65" s="27">
        <f t="shared" si="1"/>
        <v>10065.8510472576</v>
      </c>
      <c r="M65" s="27">
        <f>L65*Input!$C$17</f>
        <v>2690.0282314222627</v>
      </c>
      <c r="N65" s="27">
        <f t="shared" si="2"/>
        <v>7375.8228158353377</v>
      </c>
      <c r="O65" s="30">
        <f>(Input!$C$21*'Master Table'!G65)+Input!$C$20</f>
        <v>7350.1200000000008</v>
      </c>
      <c r="P65" s="27">
        <f t="shared" si="3"/>
        <v>2715.7310472575991</v>
      </c>
      <c r="Q65" s="29">
        <f>VLOOKUP(A65,'Good Samaritan Hospital'!$G:$I,3,FALSE)</f>
        <v>12</v>
      </c>
      <c r="R65" s="55">
        <f>P65*Q65</f>
        <v>32588.77256709119</v>
      </c>
      <c r="S65" s="65">
        <f t="shared" si="4"/>
        <v>11</v>
      </c>
      <c r="T65" s="50">
        <f t="shared" si="5"/>
        <v>29873.04151983359</v>
      </c>
      <c r="U65" s="66">
        <f t="shared" si="6"/>
        <v>-8.3333333333333329E-2</v>
      </c>
    </row>
    <row r="66" spans="1:21" x14ac:dyDescent="0.2">
      <c r="A66" s="65" t="str">
        <f t="shared" si="13"/>
        <v>948</v>
      </c>
      <c r="B66" s="32" t="s">
        <v>229</v>
      </c>
      <c r="C66" s="29" t="s">
        <v>263</v>
      </c>
      <c r="D66" s="29" t="s">
        <v>268</v>
      </c>
      <c r="E66" s="35" t="s">
        <v>356</v>
      </c>
      <c r="F66" s="29" t="s">
        <v>271</v>
      </c>
      <c r="G66" s="31" t="s">
        <v>358</v>
      </c>
      <c r="H66" s="33">
        <v>0.77759999999999996</v>
      </c>
      <c r="I66" s="34">
        <v>2.5</v>
      </c>
      <c r="J66" s="27">
        <f>H66*Input!$C$15</f>
        <v>4764.8500790722555</v>
      </c>
      <c r="K66" s="27">
        <f>H66*Input!$C$13</f>
        <v>376.17177599999997</v>
      </c>
      <c r="L66" s="27">
        <f t="shared" si="1"/>
        <v>5141.0218550722557</v>
      </c>
      <c r="M66" s="27">
        <f>L66*Input!$C$17</f>
        <v>1373.9021036150748</v>
      </c>
      <c r="N66" s="27">
        <f t="shared" si="2"/>
        <v>3767.1197514571809</v>
      </c>
      <c r="O66" s="30">
        <f>(Input!$C$21*'Master Table'!G66)+Input!$C$20</f>
        <v>5764.8</v>
      </c>
      <c r="P66" s="27">
        <f t="shared" si="3"/>
        <v>-623.77814492774451</v>
      </c>
      <c r="Q66" s="29">
        <f>VLOOKUP(A66,'Good Samaritan Hospital'!$G:$I,3,FALSE)</f>
        <v>18</v>
      </c>
      <c r="R66" s="55">
        <f>P66*Q66</f>
        <v>-11228.006608699401</v>
      </c>
      <c r="S66" s="65">
        <f t="shared" si="4"/>
        <v>17</v>
      </c>
      <c r="T66" s="50">
        <f t="shared" si="5"/>
        <v>-10604.228463771657</v>
      </c>
      <c r="U66" s="66">
        <f t="shared" si="6"/>
        <v>-5.5555555555555552E-2</v>
      </c>
    </row>
    <row r="67" spans="1:21" x14ac:dyDescent="0.2">
      <c r="A67" s="65" t="str">
        <f t="shared" ref="A67" si="18">TRIM(B67)</f>
        <v>981</v>
      </c>
      <c r="B67" s="32" t="s">
        <v>180</v>
      </c>
      <c r="C67" s="29" t="s">
        <v>263</v>
      </c>
      <c r="D67" s="29" t="s">
        <v>268</v>
      </c>
      <c r="E67" s="35" t="s">
        <v>161</v>
      </c>
      <c r="F67" s="29" t="s">
        <v>266</v>
      </c>
      <c r="G67" s="31" t="s">
        <v>361</v>
      </c>
      <c r="H67" s="36">
        <v>4.5804</v>
      </c>
      <c r="I67" s="34">
        <v>8.5</v>
      </c>
      <c r="J67" s="27">
        <f>H67*Input!$C$15</f>
        <v>28067.025851572223</v>
      </c>
      <c r="K67" s="27">
        <f>H67*Input!$C$13</f>
        <v>2215.814304</v>
      </c>
      <c r="L67" s="27">
        <f t="shared" ref="L67" si="19">J67+K67</f>
        <v>30282.840155572223</v>
      </c>
      <c r="M67" s="27">
        <f>L67*Input!$C$17</f>
        <v>8092.8770516955874</v>
      </c>
      <c r="N67" s="27">
        <f t="shared" ref="N67" si="20">L67-M67</f>
        <v>22189.963103876635</v>
      </c>
      <c r="O67" s="30">
        <f>(Input!$C$21*'Master Table'!G67)+Input!$C$20</f>
        <v>14412</v>
      </c>
      <c r="P67" s="27">
        <f t="shared" si="3"/>
        <v>15870.840155572223</v>
      </c>
      <c r="Q67" s="29">
        <f>VLOOKUP(A67,'Good Samaritan Hospital'!$G:$I,3,FALSE)</f>
        <v>11</v>
      </c>
      <c r="R67" s="55">
        <f>P67*Q67</f>
        <v>174579.24171129445</v>
      </c>
      <c r="S67" s="65">
        <f t="shared" si="4"/>
        <v>10</v>
      </c>
      <c r="T67" s="50">
        <f t="shared" si="5"/>
        <v>158708.40155572223</v>
      </c>
      <c r="U67" s="66">
        <f t="shared" si="6"/>
        <v>-9.0909090909090912E-2</v>
      </c>
    </row>
    <row r="68" spans="1:21" ht="17" thickBot="1" x14ac:dyDescent="0.25">
      <c r="A68" s="67"/>
      <c r="B68" s="87"/>
      <c r="C68" s="58"/>
      <c r="D68" s="58"/>
      <c r="E68" s="57"/>
      <c r="F68" s="58"/>
      <c r="G68" s="59"/>
      <c r="H68" s="88"/>
      <c r="I68" s="59"/>
      <c r="J68" s="58"/>
      <c r="K68" s="58"/>
      <c r="L68" s="58"/>
      <c r="M68" s="58"/>
      <c r="N68" s="58"/>
      <c r="O68" s="58"/>
      <c r="P68" s="58"/>
      <c r="Q68" s="89">
        <f>SUM(Q3:Q67)</f>
        <v>1830</v>
      </c>
      <c r="R68" s="90">
        <f>SUM(R3:R67)</f>
        <v>9494691.4120958745</v>
      </c>
      <c r="S68" s="84">
        <f>SUM(S3:S67)</f>
        <v>1686</v>
      </c>
      <c r="T68" s="85">
        <f>SUM(T3:T67)</f>
        <v>8744232.0320372749</v>
      </c>
      <c r="U68" s="83">
        <f t="shared" si="6"/>
        <v>-7.9039891607487422E-2</v>
      </c>
    </row>
  </sheetData>
  <mergeCells count="2">
    <mergeCell ref="A1:R1"/>
    <mergeCell ref="S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A64C-59FE-344A-85A3-80B620915692}">
  <dimension ref="A1:U71"/>
  <sheetViews>
    <sheetView showGridLines="0" zoomScaleNormal="100" workbookViewId="0">
      <pane ySplit="2" topLeftCell="A3" activePane="bottomLeft" state="frozen"/>
      <selection activeCell="G1" sqref="G1"/>
      <selection pane="bottomLeft" activeCell="S3" sqref="S3"/>
    </sheetView>
  </sheetViews>
  <sheetFormatPr baseColWidth="10" defaultColWidth="8.83203125" defaultRowHeight="15" x14ac:dyDescent="0.2"/>
  <cols>
    <col min="2" max="2" width="10.83203125" style="3" customWidth="1"/>
    <col min="3" max="3" width="11.1640625" customWidth="1"/>
    <col min="4" max="4" width="76.33203125" style="4" customWidth="1"/>
    <col min="5" max="5" width="11.5" style="5" customWidth="1"/>
    <col min="6" max="6" width="15" style="4" customWidth="1"/>
    <col min="7" max="7" width="17.5" customWidth="1"/>
    <col min="8" max="8" width="16.6640625" customWidth="1"/>
    <col min="9" max="9" width="19.33203125" customWidth="1"/>
    <col min="10" max="10" width="18.83203125" customWidth="1"/>
    <col min="11" max="11" width="16.83203125" customWidth="1"/>
    <col min="12" max="12" width="18.1640625" customWidth="1"/>
    <col min="13" max="13" width="16.6640625" customWidth="1"/>
    <col min="14" max="14" width="16" customWidth="1"/>
    <col min="15" max="15" width="15.5" customWidth="1"/>
    <col min="16" max="16" width="15.1640625" customWidth="1"/>
    <col min="17" max="18" width="19.6640625" customWidth="1"/>
    <col min="19" max="19" width="16.6640625" customWidth="1"/>
    <col min="20" max="20" width="13.6640625" customWidth="1"/>
    <col min="21" max="21" width="15.6640625" customWidth="1"/>
  </cols>
  <sheetData>
    <row r="1" spans="1:21" ht="29" customHeight="1" thickBot="1" x14ac:dyDescent="0.35">
      <c r="A1" s="181" t="s">
        <v>380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3"/>
      <c r="P1" s="178" t="s">
        <v>381</v>
      </c>
      <c r="Q1" s="179"/>
      <c r="R1" s="179"/>
      <c r="S1" s="179"/>
      <c r="T1" s="179"/>
      <c r="U1" s="180"/>
    </row>
    <row r="2" spans="1:21" s="6" customFormat="1" ht="84" customHeight="1" x14ac:dyDescent="0.2">
      <c r="A2" s="75" t="s">
        <v>177</v>
      </c>
      <c r="B2" s="43" t="s">
        <v>245</v>
      </c>
      <c r="C2" s="45" t="s">
        <v>247</v>
      </c>
      <c r="D2" s="45" t="s">
        <v>248</v>
      </c>
      <c r="E2" s="46" t="s">
        <v>249</v>
      </c>
      <c r="F2" s="47" t="s">
        <v>250</v>
      </c>
      <c r="G2" s="48" t="s">
        <v>251</v>
      </c>
      <c r="H2" s="48" t="s">
        <v>252</v>
      </c>
      <c r="I2" s="48" t="s">
        <v>253</v>
      </c>
      <c r="J2" s="48" t="s">
        <v>253</v>
      </c>
      <c r="K2" s="48" t="s">
        <v>253</v>
      </c>
      <c r="L2" s="48" t="s">
        <v>254</v>
      </c>
      <c r="M2" s="48" t="s">
        <v>255</v>
      </c>
      <c r="N2" s="48" t="s">
        <v>256</v>
      </c>
      <c r="O2" s="76" t="s">
        <v>257</v>
      </c>
      <c r="P2" s="68" t="s">
        <v>261</v>
      </c>
      <c r="Q2" s="106" t="s">
        <v>386</v>
      </c>
      <c r="R2" s="106" t="s">
        <v>385</v>
      </c>
      <c r="S2" s="106" t="s">
        <v>379</v>
      </c>
      <c r="T2" s="106" t="s">
        <v>262</v>
      </c>
      <c r="U2" s="69" t="s">
        <v>362</v>
      </c>
    </row>
    <row r="3" spans="1:21" ht="16" x14ac:dyDescent="0.2">
      <c r="A3" s="53" t="s">
        <v>182</v>
      </c>
      <c r="B3" s="37" t="s">
        <v>264</v>
      </c>
      <c r="C3" s="13" t="s">
        <v>266</v>
      </c>
      <c r="D3" s="23" t="s">
        <v>267</v>
      </c>
      <c r="E3" s="38">
        <v>5.7313999999999998</v>
      </c>
      <c r="F3" s="25">
        <v>7.3</v>
      </c>
      <c r="G3" s="39">
        <f>E3*Input!$C$15</f>
        <v>35119.93536933478</v>
      </c>
      <c r="H3" s="39">
        <f>E3*Input!$C$13</f>
        <v>2772.6220639999997</v>
      </c>
      <c r="I3" s="39">
        <f>G3+H3</f>
        <v>37892.557433334783</v>
      </c>
      <c r="J3" s="39">
        <f>I3*Input!$C$17</f>
        <v>10126.520726156688</v>
      </c>
      <c r="K3" s="39">
        <f t="shared" ref="K3:K66" si="0">I3-J3</f>
        <v>27766.036707178093</v>
      </c>
      <c r="L3" s="40">
        <f>(Input!$C$21*'Master Table'!G3)+Input!$C$20</f>
        <v>12682.560000000001</v>
      </c>
      <c r="M3" s="39">
        <f>I3-L3</f>
        <v>25209.997433334782</v>
      </c>
      <c r="N3" s="13">
        <f>VLOOKUP(A3,'Good Samaritan Hospital'!$G:$I,3,FALSE)</f>
        <v>14</v>
      </c>
      <c r="O3" s="77">
        <f>M3*N3</f>
        <v>352939.96406668692</v>
      </c>
      <c r="P3" s="70">
        <f t="shared" ref="P3:P34" si="1">F3-0.5</f>
        <v>6.8</v>
      </c>
      <c r="Q3" s="40">
        <f>(P3*Input!$C$21)+Input!$C$20</f>
        <v>11961.96</v>
      </c>
      <c r="R3" s="40">
        <f>-(Q3-L3)*N3</f>
        <v>10088.400000000031</v>
      </c>
      <c r="S3" s="41">
        <f>(Q3-L3)/L3</f>
        <v>-5.6818181818181983E-2</v>
      </c>
      <c r="T3" s="39">
        <f>I3-Q3</f>
        <v>25930.597433334784</v>
      </c>
      <c r="U3" s="107">
        <f>T3*N3</f>
        <v>363028.36406668695</v>
      </c>
    </row>
    <row r="4" spans="1:21" ht="16" x14ac:dyDescent="0.2">
      <c r="A4" s="53" t="s">
        <v>183</v>
      </c>
      <c r="B4" s="37" t="s">
        <v>264</v>
      </c>
      <c r="C4" s="13" t="s">
        <v>266</v>
      </c>
      <c r="D4" s="23" t="s">
        <v>269</v>
      </c>
      <c r="E4" s="38">
        <v>4.5404999999999998</v>
      </c>
      <c r="F4" s="25">
        <v>6.6</v>
      </c>
      <c r="G4" s="39">
        <f>E4*Input!$C$15</f>
        <v>27822.533158471677</v>
      </c>
      <c r="H4" s="39">
        <f>E4*Input!$C$13</f>
        <v>2196.5122799999999</v>
      </c>
      <c r="I4" s="39">
        <f t="shared" ref="I4:I66" si="2">G4+H4</f>
        <v>30019.045438471676</v>
      </c>
      <c r="J4" s="39">
        <f>I4*Input!$C$17</f>
        <v>8022.3797601134866</v>
      </c>
      <c r="K4" s="39">
        <f t="shared" si="0"/>
        <v>21996.665678358189</v>
      </c>
      <c r="L4" s="40">
        <f>(Input!$C$21*'Master Table'!G4)+Input!$C$20</f>
        <v>11673.720000000001</v>
      </c>
      <c r="M4" s="39">
        <f t="shared" ref="M4:M67" si="3">I4-L4</f>
        <v>18345.325438471675</v>
      </c>
      <c r="N4" s="13">
        <f>VLOOKUP(A4,'Good Samaritan Hospital'!$G:$I,3,FALSE)</f>
        <v>23</v>
      </c>
      <c r="O4" s="77">
        <f>M4*N4</f>
        <v>421942.48508484854</v>
      </c>
      <c r="P4" s="70">
        <f t="shared" si="1"/>
        <v>6.1</v>
      </c>
      <c r="Q4" s="40">
        <f>(P4*Input!$C$21)+Input!$C$20</f>
        <v>10953.119999999999</v>
      </c>
      <c r="R4" s="40">
        <f t="shared" ref="R4:R67" si="4">-(Q4-L4)*N4</f>
        <v>16573.80000000005</v>
      </c>
      <c r="S4" s="41">
        <f t="shared" ref="S4:S67" si="5">(Q4-L4)/L4</f>
        <v>-6.1728395061728579E-2</v>
      </c>
      <c r="T4" s="39">
        <f t="shared" ref="T4:T67" si="6">I4-Q4</f>
        <v>19065.925438471677</v>
      </c>
      <c r="U4" s="107">
        <f t="shared" ref="U4:U67" si="7">T4*N4</f>
        <v>438516.28508484858</v>
      </c>
    </row>
    <row r="5" spans="1:21" ht="16" x14ac:dyDescent="0.2">
      <c r="A5" s="53" t="s">
        <v>238</v>
      </c>
      <c r="B5" s="37" t="s">
        <v>264</v>
      </c>
      <c r="C5" s="13" t="s">
        <v>266</v>
      </c>
      <c r="D5" s="23" t="s">
        <v>270</v>
      </c>
      <c r="E5" s="38">
        <v>2.4954000000000001</v>
      </c>
      <c r="F5" s="25">
        <v>1.8</v>
      </c>
      <c r="G5" s="39">
        <f>E5*Input!$C$15</f>
        <v>15290.903918874623</v>
      </c>
      <c r="H5" s="39">
        <f>E5*Input!$C$13</f>
        <v>1207.174704</v>
      </c>
      <c r="I5" s="39">
        <f t="shared" si="2"/>
        <v>16498.078622874622</v>
      </c>
      <c r="J5" s="39">
        <f>I5*Input!$C$17</f>
        <v>4408.9960254128828</v>
      </c>
      <c r="K5" s="39">
        <f t="shared" si="0"/>
        <v>12089.08259746174</v>
      </c>
      <c r="L5" s="40">
        <f>(Input!$C$21*'Master Table'!G5)+Input!$C$20</f>
        <v>4755.9600000000009</v>
      </c>
      <c r="M5" s="39">
        <f t="shared" si="3"/>
        <v>11742.118622874621</v>
      </c>
      <c r="N5" s="13">
        <f>VLOOKUP(A5,'Good Samaritan Hospital'!$G:$I,3,FALSE)</f>
        <v>15</v>
      </c>
      <c r="O5" s="77">
        <f>M5*N5</f>
        <v>176131.77934311933</v>
      </c>
      <c r="P5" s="70">
        <f t="shared" si="1"/>
        <v>1.3</v>
      </c>
      <c r="Q5" s="40">
        <f>(P5*Input!$C$21)+Input!$C$20</f>
        <v>4035.3600000000006</v>
      </c>
      <c r="R5" s="40">
        <f t="shared" si="4"/>
        <v>10809.000000000005</v>
      </c>
      <c r="S5" s="41">
        <f t="shared" si="5"/>
        <v>-0.15151515151515157</v>
      </c>
      <c r="T5" s="39">
        <f t="shared" si="6"/>
        <v>12462.718622874621</v>
      </c>
      <c r="U5" s="107">
        <f t="shared" si="7"/>
        <v>186940.77934311933</v>
      </c>
    </row>
    <row r="6" spans="1:21" ht="16" x14ac:dyDescent="0.2">
      <c r="A6" s="53" t="s">
        <v>204</v>
      </c>
      <c r="B6" s="37" t="s">
        <v>264</v>
      </c>
      <c r="C6" s="13" t="s">
        <v>271</v>
      </c>
      <c r="D6" s="23" t="s">
        <v>272</v>
      </c>
      <c r="E6" s="38">
        <v>1.3015000000000001</v>
      </c>
      <c r="F6" s="25">
        <v>3.8</v>
      </c>
      <c r="G6" s="39">
        <f>E6*Input!$C$15</f>
        <v>7975.1187987558396</v>
      </c>
      <c r="H6" s="39">
        <f>E6*Input!$C$13</f>
        <v>629.61364000000003</v>
      </c>
      <c r="I6" s="39">
        <f t="shared" si="2"/>
        <v>8604.7324387558401</v>
      </c>
      <c r="J6" s="39">
        <f>I6*Input!$C$17</f>
        <v>2299.5545111304273</v>
      </c>
      <c r="K6" s="39">
        <f t="shared" si="0"/>
        <v>6305.1779276254128</v>
      </c>
      <c r="L6" s="40">
        <f>(Input!$C$21*'Master Table'!G6)+Input!$C$20</f>
        <v>7638.36</v>
      </c>
      <c r="M6" s="39">
        <f>I6-L6</f>
        <v>966.37243875584045</v>
      </c>
      <c r="N6" s="13">
        <f>VLOOKUP(A6,'Good Samaritan Hospital'!$G:$I,3,FALSE)</f>
        <v>14</v>
      </c>
      <c r="O6" s="77">
        <f>M6*N6</f>
        <v>13529.214142581766</v>
      </c>
      <c r="P6" s="70">
        <f t="shared" si="1"/>
        <v>3.3</v>
      </c>
      <c r="Q6" s="40">
        <f>(P6*Input!$C$21)+Input!$C$20</f>
        <v>6917.76</v>
      </c>
      <c r="R6" s="40">
        <f t="shared" si="4"/>
        <v>10088.399999999992</v>
      </c>
      <c r="S6" s="41">
        <f t="shared" si="5"/>
        <v>-9.4339622641509371E-2</v>
      </c>
      <c r="T6" s="39">
        <f t="shared" si="6"/>
        <v>1686.9724387558399</v>
      </c>
      <c r="U6" s="107">
        <f t="shared" si="7"/>
        <v>23617.614142581759</v>
      </c>
    </row>
    <row r="7" spans="1:21" ht="16" x14ac:dyDescent="0.2">
      <c r="A7" s="53" t="s">
        <v>192</v>
      </c>
      <c r="B7" s="37" t="s">
        <v>264</v>
      </c>
      <c r="C7" s="13" t="s">
        <v>271</v>
      </c>
      <c r="D7" s="23" t="s">
        <v>273</v>
      </c>
      <c r="E7" s="38">
        <v>1.972</v>
      </c>
      <c r="F7" s="25">
        <v>4.5</v>
      </c>
      <c r="G7" s="39">
        <f>E7*Input!$C$15</f>
        <v>12083.699017400319</v>
      </c>
      <c r="H7" s="39">
        <f>E7*Input!$C$13</f>
        <v>953.97471999999993</v>
      </c>
      <c r="I7" s="39">
        <f t="shared" si="2"/>
        <v>13037.673737400319</v>
      </c>
      <c r="J7" s="39">
        <f>I7*Input!$C$17</f>
        <v>3484.2270426040736</v>
      </c>
      <c r="K7" s="39">
        <f t="shared" si="0"/>
        <v>9553.4466947962446</v>
      </c>
      <c r="L7" s="40">
        <f>(Input!$C$21*'Master Table'!G7)+Input!$C$20</f>
        <v>8647.2000000000007</v>
      </c>
      <c r="M7" s="39">
        <f t="shared" si="3"/>
        <v>4390.473737400318</v>
      </c>
      <c r="N7" s="13">
        <f>VLOOKUP(A7,'Good Samaritan Hospital'!$G:$I,3,FALSE)</f>
        <v>67</v>
      </c>
      <c r="O7" s="77">
        <f t="shared" ref="O7:O13" si="8">M7*N7</f>
        <v>294161.7404058213</v>
      </c>
      <c r="P7" s="70">
        <f t="shared" si="1"/>
        <v>4</v>
      </c>
      <c r="Q7" s="40">
        <f>(P7*Input!$C$21)+Input!$C$20</f>
        <v>7926.6</v>
      </c>
      <c r="R7" s="40">
        <f t="shared" si="4"/>
        <v>48280.200000000026</v>
      </c>
      <c r="S7" s="41">
        <f t="shared" si="5"/>
        <v>-8.333333333333337E-2</v>
      </c>
      <c r="T7" s="39">
        <f t="shared" si="6"/>
        <v>5111.0737374003184</v>
      </c>
      <c r="U7" s="107">
        <f>T7*N7</f>
        <v>342441.94040582131</v>
      </c>
    </row>
    <row r="8" spans="1:21" ht="16" x14ac:dyDescent="0.2">
      <c r="A8" s="53" t="s">
        <v>221</v>
      </c>
      <c r="B8" s="37" t="s">
        <v>264</v>
      </c>
      <c r="C8" s="13" t="s">
        <v>271</v>
      </c>
      <c r="D8" s="23" t="s">
        <v>274</v>
      </c>
      <c r="E8" s="38">
        <v>1.0164</v>
      </c>
      <c r="F8" s="25">
        <v>2.9</v>
      </c>
      <c r="G8" s="39">
        <f>E8*Input!$C$15</f>
        <v>6228.129655824383</v>
      </c>
      <c r="H8" s="39">
        <f>E8*Input!$C$13</f>
        <v>491.69366399999996</v>
      </c>
      <c r="I8" s="39">
        <f t="shared" si="2"/>
        <v>6719.8233198243834</v>
      </c>
      <c r="J8" s="39">
        <f>I8*Input!$C$17</f>
        <v>1795.8257434598277</v>
      </c>
      <c r="K8" s="39">
        <f t="shared" si="0"/>
        <v>4923.9975763645562</v>
      </c>
      <c r="L8" s="40">
        <f>(Input!$C$21*'Master Table'!G8)+Input!$C$20</f>
        <v>6341.28</v>
      </c>
      <c r="M8" s="39">
        <f t="shared" si="3"/>
        <v>378.54331982438362</v>
      </c>
      <c r="N8" s="13">
        <f>VLOOKUP(A8,'Good Samaritan Hospital'!$G:$I,3,FALSE)</f>
        <v>52</v>
      </c>
      <c r="O8" s="77">
        <f t="shared" si="8"/>
        <v>19684.252630867948</v>
      </c>
      <c r="P8" s="70">
        <f t="shared" si="1"/>
        <v>2.4</v>
      </c>
      <c r="Q8" s="40">
        <f>(P8*Input!$C$21)+Input!$C$20</f>
        <v>5620.68</v>
      </c>
      <c r="R8" s="40">
        <f t="shared" si="4"/>
        <v>37471.199999999968</v>
      </c>
      <c r="S8" s="41">
        <f t="shared" si="5"/>
        <v>-0.11363636363636355</v>
      </c>
      <c r="T8" s="39">
        <f t="shared" si="6"/>
        <v>1099.1433198243831</v>
      </c>
      <c r="U8" s="107">
        <f t="shared" si="7"/>
        <v>57155.45263086792</v>
      </c>
    </row>
    <row r="9" spans="1:21" ht="16" x14ac:dyDescent="0.2">
      <c r="A9" s="53" t="s">
        <v>237</v>
      </c>
      <c r="B9" s="37" t="s">
        <v>264</v>
      </c>
      <c r="C9" s="13" t="s">
        <v>271</v>
      </c>
      <c r="D9" s="23" t="s">
        <v>275</v>
      </c>
      <c r="E9" s="38">
        <v>0.79790000000000005</v>
      </c>
      <c r="F9" s="25">
        <v>2</v>
      </c>
      <c r="G9" s="39">
        <f>E9*Input!$C$15</f>
        <v>4889.2410983690243</v>
      </c>
      <c r="H9" s="39">
        <f>E9*Input!$C$13</f>
        <v>385.99210400000004</v>
      </c>
      <c r="I9" s="39">
        <f t="shared" si="2"/>
        <v>5275.2332023690242</v>
      </c>
      <c r="J9" s="39">
        <f>I9*Input!$C$17</f>
        <v>1409.7691467007053</v>
      </c>
      <c r="K9" s="39">
        <f t="shared" si="0"/>
        <v>3865.4640556683189</v>
      </c>
      <c r="L9" s="40">
        <f>(Input!$C$21*'Master Table'!G9)+Input!$C$20</f>
        <v>5044.2000000000007</v>
      </c>
      <c r="M9" s="39">
        <f t="shared" si="3"/>
        <v>231.03320236902346</v>
      </c>
      <c r="N9" s="13">
        <f>VLOOKUP(A9,'Good Samaritan Hospital'!$G:$I,3,FALSE)</f>
        <v>11</v>
      </c>
      <c r="O9" s="77">
        <f t="shared" si="8"/>
        <v>2541.365226059258</v>
      </c>
      <c r="P9" s="70">
        <f t="shared" si="1"/>
        <v>1.5</v>
      </c>
      <c r="Q9" s="40">
        <f>(P9*Input!$C$21)+Input!$C$20</f>
        <v>4323.6000000000004</v>
      </c>
      <c r="R9" s="40">
        <f t="shared" si="4"/>
        <v>7926.600000000004</v>
      </c>
      <c r="S9" s="41">
        <f t="shared" si="5"/>
        <v>-0.1428571428571429</v>
      </c>
      <c r="T9" s="39">
        <f t="shared" si="6"/>
        <v>951.63320236902382</v>
      </c>
      <c r="U9" s="107">
        <f t="shared" si="7"/>
        <v>10467.965226059263</v>
      </c>
    </row>
    <row r="10" spans="1:21" ht="16" x14ac:dyDescent="0.2">
      <c r="A10" s="53" t="s">
        <v>190</v>
      </c>
      <c r="B10" s="37" t="s">
        <v>264</v>
      </c>
      <c r="C10" s="13" t="s">
        <v>271</v>
      </c>
      <c r="D10" s="23" t="s">
        <v>276</v>
      </c>
      <c r="E10" s="38">
        <v>1.7242</v>
      </c>
      <c r="F10" s="25">
        <v>4.5999999999999996</v>
      </c>
      <c r="G10" s="39">
        <f>E10*Input!$C$15</f>
        <v>10565.270712881151</v>
      </c>
      <c r="H10" s="39">
        <f>E10*Input!$C$13</f>
        <v>834.09899199999995</v>
      </c>
      <c r="I10" s="39">
        <f t="shared" si="2"/>
        <v>11399.36970488115</v>
      </c>
      <c r="J10" s="39">
        <f>I10*Input!$C$17</f>
        <v>3046.4017580415534</v>
      </c>
      <c r="K10" s="39">
        <f t="shared" si="0"/>
        <v>8352.9679468395971</v>
      </c>
      <c r="L10" s="40">
        <f>(Input!$C$21*'Master Table'!G10)+Input!$C$20</f>
        <v>8791.32</v>
      </c>
      <c r="M10" s="39">
        <f t="shared" si="3"/>
        <v>2608.0497048811503</v>
      </c>
      <c r="N10" s="13">
        <f>VLOOKUP(A10,'Good Samaritan Hospital'!$G:$I,3,FALSE)</f>
        <v>18</v>
      </c>
      <c r="O10" s="77">
        <f t="shared" si="8"/>
        <v>46944.894687860709</v>
      </c>
      <c r="P10" s="70">
        <f t="shared" si="1"/>
        <v>4.0999999999999996</v>
      </c>
      <c r="Q10" s="40">
        <f>(P10*Input!$C$21)+Input!$C$20</f>
        <v>8070.72</v>
      </c>
      <c r="R10" s="40">
        <f t="shared" si="4"/>
        <v>12970.79999999999</v>
      </c>
      <c r="S10" s="41">
        <f t="shared" si="5"/>
        <v>-8.1967213114754037E-2</v>
      </c>
      <c r="T10" s="39">
        <f t="shared" si="6"/>
        <v>3328.6497048811498</v>
      </c>
      <c r="U10" s="107">
        <f t="shared" si="7"/>
        <v>59915.694687860698</v>
      </c>
    </row>
    <row r="11" spans="1:21" ht="16" x14ac:dyDescent="0.2">
      <c r="A11" s="53" t="s">
        <v>214</v>
      </c>
      <c r="B11" s="37" t="s">
        <v>264</v>
      </c>
      <c r="C11" s="13" t="s">
        <v>271</v>
      </c>
      <c r="D11" s="23" t="s">
        <v>277</v>
      </c>
      <c r="E11" s="38">
        <v>1.069</v>
      </c>
      <c r="F11" s="25">
        <v>3.4</v>
      </c>
      <c r="G11" s="39">
        <f>E11*Input!$C$15</f>
        <v>6550.4433314406397</v>
      </c>
      <c r="H11" s="39">
        <f>E11*Input!$C$13</f>
        <v>517.13943999999992</v>
      </c>
      <c r="I11" s="39">
        <f t="shared" si="2"/>
        <v>7067.5827714406396</v>
      </c>
      <c r="J11" s="39">
        <f>I11*Input!$C$17</f>
        <v>1888.762022588111</v>
      </c>
      <c r="K11" s="39">
        <f t="shared" si="0"/>
        <v>5178.8207488525286</v>
      </c>
      <c r="L11" s="40">
        <f>(Input!$C$21*'Master Table'!G11)+Input!$C$20</f>
        <v>7061.88</v>
      </c>
      <c r="M11" s="39">
        <f>I11-L11</f>
        <v>5.7027714406394807</v>
      </c>
      <c r="N11" s="13">
        <f>VLOOKUP(A11,'Good Samaritan Hospital'!$G:$I,3,FALSE)</f>
        <v>20</v>
      </c>
      <c r="O11" s="77">
        <f>M11*N11</f>
        <v>114.05542881278961</v>
      </c>
      <c r="P11" s="70">
        <f t="shared" si="1"/>
        <v>2.9</v>
      </c>
      <c r="Q11" s="40">
        <f>(P11*Input!$C$21)+Input!$C$20</f>
        <v>6341.28</v>
      </c>
      <c r="R11" s="40">
        <f t="shared" si="4"/>
        <v>14412.000000000007</v>
      </c>
      <c r="S11" s="41">
        <f t="shared" si="5"/>
        <v>-0.10204081632653066</v>
      </c>
      <c r="T11" s="39">
        <f t="shared" si="6"/>
        <v>726.30277144063984</v>
      </c>
      <c r="U11" s="107">
        <f>T11*N11</f>
        <v>14526.055428812797</v>
      </c>
    </row>
    <row r="12" spans="1:21" ht="16" x14ac:dyDescent="0.2">
      <c r="A12" s="53" t="s">
        <v>195</v>
      </c>
      <c r="B12" s="37" t="s">
        <v>264</v>
      </c>
      <c r="C12" s="13" t="s">
        <v>271</v>
      </c>
      <c r="D12" s="23" t="s">
        <v>278</v>
      </c>
      <c r="E12" s="38">
        <v>1.921</v>
      </c>
      <c r="F12" s="25">
        <v>4.4000000000000004</v>
      </c>
      <c r="G12" s="39">
        <f>E12*Input!$C$15</f>
        <v>11771.189560053759</v>
      </c>
      <c r="H12" s="39">
        <f>E12*Input!$C$13</f>
        <v>929.30295999999998</v>
      </c>
      <c r="I12" s="39">
        <f t="shared" si="2"/>
        <v>12700.492520053758</v>
      </c>
      <c r="J12" s="39">
        <f>I12*Input!$C$17</f>
        <v>3394.1177225367264</v>
      </c>
      <c r="K12" s="39">
        <f t="shared" si="0"/>
        <v>9306.3747975170318</v>
      </c>
      <c r="L12" s="40">
        <f>(Input!$C$21*'Master Table'!G12)+Input!$C$20</f>
        <v>8503.0800000000017</v>
      </c>
      <c r="M12" s="39">
        <f t="shared" si="3"/>
        <v>4197.4125200537565</v>
      </c>
      <c r="N12" s="13">
        <f>VLOOKUP(A12,'Good Samaritan Hospital'!$G:$I,3,FALSE)</f>
        <v>19</v>
      </c>
      <c r="O12" s="77">
        <f t="shared" si="8"/>
        <v>79750.837881021376</v>
      </c>
      <c r="P12" s="70">
        <f t="shared" si="1"/>
        <v>3.9000000000000004</v>
      </c>
      <c r="Q12" s="40">
        <f>(P12*Input!$C$21)+Input!$C$20</f>
        <v>7782.4800000000005</v>
      </c>
      <c r="R12" s="40">
        <f t="shared" si="4"/>
        <v>13691.400000000023</v>
      </c>
      <c r="S12" s="41">
        <f t="shared" si="5"/>
        <v>-8.4745762711864542E-2</v>
      </c>
      <c r="T12" s="39">
        <f t="shared" si="6"/>
        <v>4918.0125200537577</v>
      </c>
      <c r="U12" s="107">
        <f>T12*N12</f>
        <v>93442.2378810214</v>
      </c>
    </row>
    <row r="13" spans="1:21" ht="16" x14ac:dyDescent="0.2">
      <c r="A13" s="53" t="s">
        <v>226</v>
      </c>
      <c r="B13" s="37" t="s">
        <v>264</v>
      </c>
      <c r="C13" s="13" t="s">
        <v>271</v>
      </c>
      <c r="D13" s="23" t="s">
        <v>279</v>
      </c>
      <c r="E13" s="38">
        <v>0.90149999999999997</v>
      </c>
      <c r="F13" s="25">
        <v>2.6</v>
      </c>
      <c r="G13" s="39">
        <f>E13*Input!$C$15</f>
        <v>5524.0642313318394</v>
      </c>
      <c r="H13" s="39">
        <f>E13*Input!$C$13</f>
        <v>436.10963999999996</v>
      </c>
      <c r="I13" s="39">
        <f t="shared" si="2"/>
        <v>5960.1738713318391</v>
      </c>
      <c r="J13" s="39">
        <f>I13*Input!$C$17</f>
        <v>1592.8147458963347</v>
      </c>
      <c r="K13" s="39">
        <f t="shared" si="0"/>
        <v>4367.3591254355042</v>
      </c>
      <c r="L13" s="40">
        <f>(Input!$C$21*'Master Table'!G13)+Input!$C$20</f>
        <v>5908.92</v>
      </c>
      <c r="M13" s="39">
        <f t="shared" si="3"/>
        <v>51.253871331839036</v>
      </c>
      <c r="N13" s="13">
        <f>VLOOKUP(A13,'Good Samaritan Hospital'!$G:$I,3,FALSE)</f>
        <v>14</v>
      </c>
      <c r="O13" s="77">
        <f t="shared" si="8"/>
        <v>717.55419864574651</v>
      </c>
      <c r="P13" s="70">
        <f t="shared" si="1"/>
        <v>2.1</v>
      </c>
      <c r="Q13" s="40">
        <f>(P13*Input!$C$21)+Input!$C$20</f>
        <v>5188.3200000000006</v>
      </c>
      <c r="R13" s="40">
        <f t="shared" si="4"/>
        <v>10088.399999999992</v>
      </c>
      <c r="S13" s="41">
        <f t="shared" si="5"/>
        <v>-0.12195121951219502</v>
      </c>
      <c r="T13" s="39">
        <f t="shared" si="6"/>
        <v>771.85387133183849</v>
      </c>
      <c r="U13" s="107">
        <f t="shared" si="7"/>
        <v>10805.954198645739</v>
      </c>
    </row>
    <row r="14" spans="1:21" ht="16" x14ac:dyDescent="0.2">
      <c r="A14" s="53" t="s">
        <v>200</v>
      </c>
      <c r="B14" s="22" t="s">
        <v>280</v>
      </c>
      <c r="C14" s="13" t="s">
        <v>271</v>
      </c>
      <c r="D14" s="23" t="s">
        <v>282</v>
      </c>
      <c r="E14" s="38">
        <v>1.3968</v>
      </c>
      <c r="F14" s="25">
        <v>3.9</v>
      </c>
      <c r="G14" s="39">
        <f>E14*Input!$C$15</f>
        <v>8559.0825494446071</v>
      </c>
      <c r="H14" s="39">
        <f>E14*Input!$C$13</f>
        <v>675.71596799999998</v>
      </c>
      <c r="I14" s="39">
        <f t="shared" si="2"/>
        <v>9234.7985174446076</v>
      </c>
      <c r="J14" s="39">
        <f>I14*Input!$C$17</f>
        <v>2467.9352601974492</v>
      </c>
      <c r="K14" s="39">
        <f t="shared" si="0"/>
        <v>6766.8632572471579</v>
      </c>
      <c r="L14" s="40">
        <f>(Input!$C$21*'Master Table'!G14)+Input!$C$20</f>
        <v>7782.4800000000005</v>
      </c>
      <c r="M14" s="39">
        <f t="shared" si="3"/>
        <v>1452.3185174446071</v>
      </c>
      <c r="N14" s="13">
        <f>VLOOKUP(A14,'Good Samaritan Hospital'!$G:$I,3,FALSE)</f>
        <v>16</v>
      </c>
      <c r="O14" s="77">
        <f>M14*N14</f>
        <v>23237.096279113714</v>
      </c>
      <c r="P14" s="70">
        <f t="shared" si="1"/>
        <v>3.4</v>
      </c>
      <c r="Q14" s="40">
        <f>(P14*Input!$C$21)+Input!$C$20</f>
        <v>7061.88</v>
      </c>
      <c r="R14" s="40">
        <f t="shared" si="4"/>
        <v>11529.600000000006</v>
      </c>
      <c r="S14" s="41">
        <f t="shared" si="5"/>
        <v>-9.2592592592592629E-2</v>
      </c>
      <c r="T14" s="39">
        <f t="shared" si="6"/>
        <v>2172.9185174446075</v>
      </c>
      <c r="U14" s="107">
        <f t="shared" si="7"/>
        <v>34766.696279113719</v>
      </c>
    </row>
    <row r="15" spans="1:21" ht="16" x14ac:dyDescent="0.2">
      <c r="A15" s="53" t="s">
        <v>185</v>
      </c>
      <c r="B15" s="22" t="s">
        <v>280</v>
      </c>
      <c r="C15" s="13" t="s">
        <v>271</v>
      </c>
      <c r="D15" s="23" t="s">
        <v>283</v>
      </c>
      <c r="E15" s="38">
        <v>1.7799</v>
      </c>
      <c r="F15" s="25">
        <v>5.2</v>
      </c>
      <c r="G15" s="39">
        <f>E15*Input!$C$15</f>
        <v>10906.580061394943</v>
      </c>
      <c r="H15" s="39">
        <f>E15*Input!$C$13</f>
        <v>861.04442400000005</v>
      </c>
      <c r="I15" s="39">
        <f t="shared" si="2"/>
        <v>11767.624485394943</v>
      </c>
      <c r="J15" s="39">
        <f>I15*Input!$C$17</f>
        <v>3144.8152703504006</v>
      </c>
      <c r="K15" s="39">
        <f t="shared" si="0"/>
        <v>8622.8092150445427</v>
      </c>
      <c r="L15" s="40">
        <f>(Input!$C$21*'Master Table'!G15)+Input!$C$20</f>
        <v>9656.0400000000009</v>
      </c>
      <c r="M15" s="39">
        <f t="shared" si="3"/>
        <v>2111.584485394942</v>
      </c>
      <c r="N15" s="13">
        <f>VLOOKUP(A15,'Good Samaritan Hospital'!$G:$I,3,FALSE)</f>
        <v>57</v>
      </c>
      <c r="O15" s="77">
        <f t="shared" ref="O15:O16" si="9">M15*N15</f>
        <v>120360.31566751169</v>
      </c>
      <c r="P15" s="70">
        <f t="shared" si="1"/>
        <v>4.7</v>
      </c>
      <c r="Q15" s="40">
        <f>(P15*Input!$C$21)+Input!$C$20</f>
        <v>8935.44</v>
      </c>
      <c r="R15" s="40">
        <f t="shared" si="4"/>
        <v>41074.200000000019</v>
      </c>
      <c r="S15" s="41">
        <f t="shared" si="5"/>
        <v>-7.4626865671641826E-2</v>
      </c>
      <c r="T15" s="39">
        <f t="shared" si="6"/>
        <v>2832.1844853949424</v>
      </c>
      <c r="U15" s="107">
        <f t="shared" si="7"/>
        <v>161434.5156675117</v>
      </c>
    </row>
    <row r="16" spans="1:21" ht="16" x14ac:dyDescent="0.2">
      <c r="A16" s="53" t="s">
        <v>207</v>
      </c>
      <c r="B16" s="22" t="s">
        <v>280</v>
      </c>
      <c r="C16" s="13" t="s">
        <v>271</v>
      </c>
      <c r="D16" s="23" t="s">
        <v>284</v>
      </c>
      <c r="E16" s="38">
        <v>1.087</v>
      </c>
      <c r="F16" s="25">
        <v>3.6</v>
      </c>
      <c r="G16" s="39">
        <f>E16*Input!$C$15</f>
        <v>6660.7407869747194</v>
      </c>
      <c r="H16" s="39">
        <f>E16*Input!$C$13</f>
        <v>525.84712000000002</v>
      </c>
      <c r="I16" s="39">
        <f t="shared" si="2"/>
        <v>7186.5879069747198</v>
      </c>
      <c r="J16" s="39">
        <f>I16*Input!$C$17</f>
        <v>1920.565312023645</v>
      </c>
      <c r="K16" s="39">
        <f t="shared" si="0"/>
        <v>5266.022594951075</v>
      </c>
      <c r="L16" s="40">
        <f>(Input!$C$21*'Master Table'!G16)+Input!$C$20</f>
        <v>7350.1200000000008</v>
      </c>
      <c r="M16" s="39">
        <f t="shared" si="3"/>
        <v>-163.53209302528103</v>
      </c>
      <c r="N16" s="13">
        <f>VLOOKUP(A16,'Good Samaritan Hospital'!$G:$I,3,FALSE)</f>
        <v>11</v>
      </c>
      <c r="O16" s="77">
        <f t="shared" si="9"/>
        <v>-1798.8530232780913</v>
      </c>
      <c r="P16" s="70">
        <f t="shared" si="1"/>
        <v>3.1</v>
      </c>
      <c r="Q16" s="40">
        <f>(P16*Input!$C$21)+Input!$C$20</f>
        <v>6629.52</v>
      </c>
      <c r="R16" s="40">
        <f t="shared" si="4"/>
        <v>7926.600000000004</v>
      </c>
      <c r="S16" s="41">
        <f t="shared" si="5"/>
        <v>-9.803921568627455E-2</v>
      </c>
      <c r="T16" s="39">
        <f t="shared" si="6"/>
        <v>557.06790697471934</v>
      </c>
      <c r="U16" s="107">
        <f>T16*N16</f>
        <v>6127.7469767219127</v>
      </c>
    </row>
    <row r="17" spans="1:21" ht="16" x14ac:dyDescent="0.2">
      <c r="A17" s="53" t="s">
        <v>211</v>
      </c>
      <c r="B17" s="22" t="s">
        <v>280</v>
      </c>
      <c r="C17" s="13" t="s">
        <v>271</v>
      </c>
      <c r="D17" s="23" t="s">
        <v>285</v>
      </c>
      <c r="E17" s="38">
        <v>1.2070000000000001</v>
      </c>
      <c r="F17" s="25">
        <v>3.5</v>
      </c>
      <c r="G17" s="39">
        <f>E17*Input!$C$15</f>
        <v>7396.0571572019198</v>
      </c>
      <c r="H17" s="39">
        <f>E17*Input!$C$13</f>
        <v>583.89832000000001</v>
      </c>
      <c r="I17" s="39">
        <f t="shared" si="2"/>
        <v>7979.9554772019201</v>
      </c>
      <c r="J17" s="39">
        <f>I17*Input!$C$17</f>
        <v>2132.5872415938729</v>
      </c>
      <c r="K17" s="39">
        <f t="shared" si="0"/>
        <v>5847.3682356080471</v>
      </c>
      <c r="L17" s="40">
        <f>(Input!$C$21*'Master Table'!G17)+Input!$C$20</f>
        <v>7206</v>
      </c>
      <c r="M17" s="39">
        <f t="shared" si="3"/>
        <v>773.95547720192008</v>
      </c>
      <c r="N17" s="13">
        <f>VLOOKUP(A17,'Good Samaritan Hospital'!$G:$I,3,FALSE)</f>
        <v>60</v>
      </c>
      <c r="O17" s="77">
        <f>M17*N17</f>
        <v>46437.328632115205</v>
      </c>
      <c r="P17" s="70">
        <f t="shared" si="1"/>
        <v>3</v>
      </c>
      <c r="Q17" s="40">
        <f>(P17*Input!$C$21)+Input!$C$20</f>
        <v>6485.4000000000005</v>
      </c>
      <c r="R17" s="40">
        <f t="shared" si="4"/>
        <v>43235.999999999971</v>
      </c>
      <c r="S17" s="41">
        <f t="shared" si="5"/>
        <v>-9.9999999999999922E-2</v>
      </c>
      <c r="T17" s="39">
        <f t="shared" si="6"/>
        <v>1494.5554772019195</v>
      </c>
      <c r="U17" s="107">
        <f t="shared" si="7"/>
        <v>89673.328632115168</v>
      </c>
    </row>
    <row r="18" spans="1:21" ht="16" x14ac:dyDescent="0.2">
      <c r="A18" s="53" t="s">
        <v>198</v>
      </c>
      <c r="B18" s="22" t="s">
        <v>280</v>
      </c>
      <c r="C18" s="13" t="s">
        <v>271</v>
      </c>
      <c r="D18" s="23" t="s">
        <v>286</v>
      </c>
      <c r="E18" s="38">
        <v>1.2987</v>
      </c>
      <c r="F18" s="25">
        <v>4</v>
      </c>
      <c r="G18" s="39">
        <f>E18*Input!$C$15</f>
        <v>7957.9614167838708</v>
      </c>
      <c r="H18" s="39">
        <f>E18*Input!$C$13</f>
        <v>628.25911199999996</v>
      </c>
      <c r="I18" s="39">
        <f t="shared" si="2"/>
        <v>8586.2205287838715</v>
      </c>
      <c r="J18" s="39">
        <f>I18*Input!$C$17</f>
        <v>2294.6073327737881</v>
      </c>
      <c r="K18" s="39">
        <f t="shared" si="0"/>
        <v>6291.6131960100829</v>
      </c>
      <c r="L18" s="40">
        <f>(Input!$C$21*'Master Table'!G18)+Input!$C$20</f>
        <v>7926.6</v>
      </c>
      <c r="M18" s="39">
        <f t="shared" si="3"/>
        <v>659.62052878387112</v>
      </c>
      <c r="N18" s="13">
        <f>VLOOKUP(A18,'Good Samaritan Hospital'!$G:$I,3,FALSE)</f>
        <v>39</v>
      </c>
      <c r="O18" s="77">
        <f>M18*N18</f>
        <v>25725.200622570974</v>
      </c>
      <c r="P18" s="70">
        <f t="shared" si="1"/>
        <v>3.5</v>
      </c>
      <c r="Q18" s="40">
        <f>(P18*Input!$C$21)+Input!$C$20</f>
        <v>7206</v>
      </c>
      <c r="R18" s="40">
        <f t="shared" si="4"/>
        <v>28103.400000000016</v>
      </c>
      <c r="S18" s="41">
        <f t="shared" si="5"/>
        <v>-9.0909090909090953E-2</v>
      </c>
      <c r="T18" s="39">
        <f t="shared" si="6"/>
        <v>1380.2205287838715</v>
      </c>
      <c r="U18" s="107">
        <f t="shared" si="7"/>
        <v>53828.600622570986</v>
      </c>
    </row>
    <row r="19" spans="1:21" ht="16" x14ac:dyDescent="0.2">
      <c r="A19" s="53" t="s">
        <v>188</v>
      </c>
      <c r="B19" s="22" t="s">
        <v>280</v>
      </c>
      <c r="C19" s="13" t="s">
        <v>271</v>
      </c>
      <c r="D19" s="23" t="s">
        <v>287</v>
      </c>
      <c r="E19" s="38">
        <v>2.6000999999999999</v>
      </c>
      <c r="F19" s="25">
        <v>5</v>
      </c>
      <c r="G19" s="39">
        <f>E19*Input!$C$15</f>
        <v>15932.467451897854</v>
      </c>
      <c r="H19" s="39">
        <f>E19*Input!$C$13</f>
        <v>1257.8243759999998</v>
      </c>
      <c r="I19" s="39">
        <f t="shared" si="2"/>
        <v>17190.291827897854</v>
      </c>
      <c r="J19" s="39">
        <f>I19*Input!$C$17</f>
        <v>4593.9851589629061</v>
      </c>
      <c r="K19" s="39">
        <f t="shared" si="0"/>
        <v>12596.306668934947</v>
      </c>
      <c r="L19" s="40">
        <f>(Input!$C$21*'Master Table'!G19)+Input!$C$20</f>
        <v>9367.7999999999993</v>
      </c>
      <c r="M19" s="39">
        <f t="shared" si="3"/>
        <v>7822.4918278978548</v>
      </c>
      <c r="N19" s="13">
        <f>VLOOKUP(A19,'Good Samaritan Hospital'!$G:$I,3,FALSE)</f>
        <v>17</v>
      </c>
      <c r="O19" s="77">
        <f>M19*N19</f>
        <v>132982.36107426352</v>
      </c>
      <c r="P19" s="70">
        <f t="shared" si="1"/>
        <v>4.5</v>
      </c>
      <c r="Q19" s="40">
        <f>(P19*Input!$C$21)+Input!$C$20</f>
        <v>8647.2000000000007</v>
      </c>
      <c r="R19" s="40">
        <f t="shared" si="4"/>
        <v>12250.199999999975</v>
      </c>
      <c r="S19" s="41">
        <f t="shared" si="5"/>
        <v>-7.6923076923076775E-2</v>
      </c>
      <c r="T19" s="39">
        <f t="shared" si="6"/>
        <v>8543.0918278978534</v>
      </c>
      <c r="U19" s="107">
        <f t="shared" si="7"/>
        <v>145232.5610742635</v>
      </c>
    </row>
    <row r="20" spans="1:21" ht="16" x14ac:dyDescent="0.2">
      <c r="A20" s="53" t="s">
        <v>205</v>
      </c>
      <c r="B20" s="22" t="s">
        <v>288</v>
      </c>
      <c r="C20" s="13" t="s">
        <v>266</v>
      </c>
      <c r="D20" s="23" t="s">
        <v>290</v>
      </c>
      <c r="E20" s="38">
        <v>2.9954000000000001</v>
      </c>
      <c r="F20" s="25">
        <v>3.8</v>
      </c>
      <c r="G20" s="39">
        <f>E20*Input!$C$15</f>
        <v>18354.722128154623</v>
      </c>
      <c r="H20" s="39">
        <f>E20*Input!$C$13</f>
        <v>1449.0547039999999</v>
      </c>
      <c r="I20" s="39">
        <f t="shared" si="2"/>
        <v>19803.776832154621</v>
      </c>
      <c r="J20" s="39">
        <f>I20*Input!$C$17</f>
        <v>5292.4207319554971</v>
      </c>
      <c r="K20" s="39">
        <f t="shared" si="0"/>
        <v>14511.356100199124</v>
      </c>
      <c r="L20" s="40">
        <f>(Input!$C$21*'Master Table'!G20)+Input!$C$20</f>
        <v>7638.36</v>
      </c>
      <c r="M20" s="39">
        <f t="shared" si="3"/>
        <v>12165.41683215462</v>
      </c>
      <c r="N20" s="13">
        <f>VLOOKUP(A20,'Good Samaritan Hospital'!$G:$I,3,FALSE)</f>
        <v>15</v>
      </c>
      <c r="O20" s="77">
        <f t="shared" ref="O20:O21" si="10">M20*N20</f>
        <v>182481.25248231931</v>
      </c>
      <c r="P20" s="70">
        <f t="shared" si="1"/>
        <v>3.3</v>
      </c>
      <c r="Q20" s="40">
        <f>(P20*Input!$C$21)+Input!$C$20</f>
        <v>6917.76</v>
      </c>
      <c r="R20" s="40">
        <f t="shared" si="4"/>
        <v>10808.999999999993</v>
      </c>
      <c r="S20" s="41">
        <f t="shared" si="5"/>
        <v>-9.4339622641509371E-2</v>
      </c>
      <c r="T20" s="39">
        <f t="shared" si="6"/>
        <v>12886.016832154621</v>
      </c>
      <c r="U20" s="107">
        <f t="shared" si="7"/>
        <v>193290.25248231931</v>
      </c>
    </row>
    <row r="21" spans="1:21" ht="16" x14ac:dyDescent="0.2">
      <c r="A21" s="53" t="s">
        <v>236</v>
      </c>
      <c r="B21" s="22" t="s">
        <v>288</v>
      </c>
      <c r="C21" s="13" t="s">
        <v>266</v>
      </c>
      <c r="D21" s="23" t="s">
        <v>291</v>
      </c>
      <c r="E21" s="38">
        <v>1.9095</v>
      </c>
      <c r="F21" s="25">
        <v>2</v>
      </c>
      <c r="G21" s="39">
        <f>E21*Input!$C$15</f>
        <v>11700.721741240319</v>
      </c>
      <c r="H21" s="39">
        <f>E21*Input!$C$13</f>
        <v>923.73971999999992</v>
      </c>
      <c r="I21" s="39">
        <f t="shared" si="2"/>
        <v>12624.461461240318</v>
      </c>
      <c r="J21" s="39">
        <f>I21*Input!$C$17</f>
        <v>3373.7989542862465</v>
      </c>
      <c r="K21" s="39">
        <f t="shared" si="0"/>
        <v>9250.6625069540714</v>
      </c>
      <c r="L21" s="40">
        <f>(Input!$C$21*'Master Table'!G21)+Input!$C$20</f>
        <v>5044.2000000000007</v>
      </c>
      <c r="M21" s="39">
        <f t="shared" si="3"/>
        <v>7580.2614612403177</v>
      </c>
      <c r="N21" s="13">
        <f>VLOOKUP(A21,'Good Samaritan Hospital'!$G:$I,3,FALSE)</f>
        <v>15</v>
      </c>
      <c r="O21" s="77">
        <f t="shared" si="10"/>
        <v>113703.92191860477</v>
      </c>
      <c r="P21" s="70">
        <f t="shared" si="1"/>
        <v>1.5</v>
      </c>
      <c r="Q21" s="40">
        <f>(P21*Input!$C$21)+Input!$C$20</f>
        <v>4323.6000000000004</v>
      </c>
      <c r="R21" s="40">
        <f t="shared" si="4"/>
        <v>10809.000000000005</v>
      </c>
      <c r="S21" s="41">
        <f t="shared" si="5"/>
        <v>-0.1428571428571429</v>
      </c>
      <c r="T21" s="39">
        <f t="shared" si="6"/>
        <v>8300.861461240318</v>
      </c>
      <c r="U21" s="107">
        <f t="shared" si="7"/>
        <v>124512.92191860477</v>
      </c>
    </row>
    <row r="22" spans="1:21" ht="16" x14ac:dyDescent="0.2">
      <c r="A22" s="53" t="s">
        <v>240</v>
      </c>
      <c r="B22" s="22" t="s">
        <v>288</v>
      </c>
      <c r="C22" s="13" t="s">
        <v>266</v>
      </c>
      <c r="D22" s="23" t="s">
        <v>292</v>
      </c>
      <c r="E22" s="38">
        <v>4.2763</v>
      </c>
      <c r="F22" s="25">
        <v>1.5</v>
      </c>
      <c r="G22" s="39">
        <f>E22*Input!$C$15</f>
        <v>26203.611616688126</v>
      </c>
      <c r="H22" s="39">
        <f>E22*Input!$C$13</f>
        <v>2068.7028879999998</v>
      </c>
      <c r="I22" s="39">
        <f t="shared" si="2"/>
        <v>28272.314504688125</v>
      </c>
      <c r="J22" s="39">
        <f>I22*Input!$C$17</f>
        <v>7555.5781451763687</v>
      </c>
      <c r="K22" s="39">
        <f t="shared" si="0"/>
        <v>20716.736359511757</v>
      </c>
      <c r="L22" s="40">
        <f>(Input!$C$21*'Master Table'!G22)+Input!$C$20</f>
        <v>4323.6000000000004</v>
      </c>
      <c r="M22" s="39">
        <f t="shared" si="3"/>
        <v>23948.714504688127</v>
      </c>
      <c r="N22" s="13">
        <f>VLOOKUP(A22,'Good Samaritan Hospital'!$G:$I,3,FALSE)</f>
        <v>12</v>
      </c>
      <c r="O22" s="77">
        <f>M22*N22</f>
        <v>287384.57405625749</v>
      </c>
      <c r="P22" s="70">
        <f t="shared" si="1"/>
        <v>1</v>
      </c>
      <c r="Q22" s="40">
        <f>(P22*Input!$C$21)+Input!$C$20</f>
        <v>3603</v>
      </c>
      <c r="R22" s="40">
        <f t="shared" si="4"/>
        <v>8647.2000000000044</v>
      </c>
      <c r="S22" s="41">
        <f t="shared" si="5"/>
        <v>-0.16666666666666674</v>
      </c>
      <c r="T22" s="39">
        <f t="shared" si="6"/>
        <v>24669.314504688125</v>
      </c>
      <c r="U22" s="107">
        <f t="shared" si="7"/>
        <v>296031.77405625751</v>
      </c>
    </row>
    <row r="23" spans="1:21" ht="16" x14ac:dyDescent="0.2">
      <c r="A23" s="53" t="s">
        <v>197</v>
      </c>
      <c r="B23" s="22" t="s">
        <v>288</v>
      </c>
      <c r="C23" s="13" t="s">
        <v>271</v>
      </c>
      <c r="D23" s="23" t="s">
        <v>293</v>
      </c>
      <c r="E23" s="38">
        <v>1.6064000000000001</v>
      </c>
      <c r="F23" s="25">
        <v>4.0999999999999996</v>
      </c>
      <c r="G23" s="39">
        <f>E23*Input!$C$15</f>
        <v>9843.4351427747843</v>
      </c>
      <c r="H23" s="39">
        <f>E23*Input!$C$13</f>
        <v>777.11206400000003</v>
      </c>
      <c r="I23" s="39">
        <f t="shared" si="2"/>
        <v>10620.547206774785</v>
      </c>
      <c r="J23" s="39">
        <f>I23*Input!$C$17</f>
        <v>2838.266897180114</v>
      </c>
      <c r="K23" s="39">
        <f t="shared" si="0"/>
        <v>7782.2803095946711</v>
      </c>
      <c r="L23" s="40">
        <f>(Input!$C$21*'Master Table'!G23)+Input!$C$20</f>
        <v>8070.72</v>
      </c>
      <c r="M23" s="39">
        <f t="shared" si="3"/>
        <v>2549.8272067747848</v>
      </c>
      <c r="N23" s="13">
        <f>VLOOKUP(A23,'Good Samaritan Hospital'!$G:$I,3,FALSE)</f>
        <v>46</v>
      </c>
      <c r="O23" s="77">
        <f t="shared" ref="O23:O26" si="11">M23*N23</f>
        <v>117292.05151164011</v>
      </c>
      <c r="P23" s="70">
        <f t="shared" si="1"/>
        <v>3.5999999999999996</v>
      </c>
      <c r="Q23" s="40">
        <f>(P23*Input!$C$21)+Input!$C$20</f>
        <v>7350.12</v>
      </c>
      <c r="R23" s="40">
        <f t="shared" si="4"/>
        <v>33147.60000000002</v>
      </c>
      <c r="S23" s="41">
        <f t="shared" si="5"/>
        <v>-8.9285714285714329E-2</v>
      </c>
      <c r="T23" s="39">
        <f t="shared" si="6"/>
        <v>3270.4272067747852</v>
      </c>
      <c r="U23" s="107">
        <f t="shared" si="7"/>
        <v>150439.65151164011</v>
      </c>
    </row>
    <row r="24" spans="1:21" ht="16" x14ac:dyDescent="0.2">
      <c r="A24" s="53" t="s">
        <v>231</v>
      </c>
      <c r="B24" s="22" t="s">
        <v>288</v>
      </c>
      <c r="C24" s="13" t="s">
        <v>271</v>
      </c>
      <c r="D24" s="23" t="s">
        <v>294</v>
      </c>
      <c r="E24" s="38">
        <v>0.91859999999999997</v>
      </c>
      <c r="F24" s="25">
        <v>2.4</v>
      </c>
      <c r="G24" s="39">
        <f>E24*Input!$C$15</f>
        <v>5628.8468140892155</v>
      </c>
      <c r="H24" s="39">
        <f>E24*Input!$C$13</f>
        <v>444.381936</v>
      </c>
      <c r="I24" s="39">
        <f t="shared" si="2"/>
        <v>6073.2287500892153</v>
      </c>
      <c r="J24" s="39">
        <f>I24*Input!$C$17</f>
        <v>1623.0278708600922</v>
      </c>
      <c r="K24" s="39">
        <f t="shared" si="0"/>
        <v>4450.2008792291235</v>
      </c>
      <c r="L24" s="40">
        <f>(Input!$C$21*'Master Table'!G24)+Input!$C$20</f>
        <v>5620.68</v>
      </c>
      <c r="M24" s="39">
        <f t="shared" si="3"/>
        <v>452.54875008921499</v>
      </c>
      <c r="N24" s="13">
        <f>VLOOKUP(A24,'Good Samaritan Hospital'!$G:$I,3,FALSE)</f>
        <v>13</v>
      </c>
      <c r="O24" s="77">
        <f t="shared" si="11"/>
        <v>5883.1337511597949</v>
      </c>
      <c r="P24" s="70">
        <f t="shared" si="1"/>
        <v>1.9</v>
      </c>
      <c r="Q24" s="40">
        <f>(P24*Input!$C$21)+Input!$C$20</f>
        <v>4900.08</v>
      </c>
      <c r="R24" s="40">
        <f t="shared" si="4"/>
        <v>9367.8000000000047</v>
      </c>
      <c r="S24" s="41">
        <f t="shared" si="5"/>
        <v>-0.12820512820512828</v>
      </c>
      <c r="T24" s="39">
        <f t="shared" si="6"/>
        <v>1173.1487500892154</v>
      </c>
      <c r="U24" s="107">
        <f t="shared" si="7"/>
        <v>15250.933751159799</v>
      </c>
    </row>
    <row r="25" spans="1:21" ht="16" x14ac:dyDescent="0.2">
      <c r="A25" s="53" t="s">
        <v>186</v>
      </c>
      <c r="B25" s="22" t="s">
        <v>288</v>
      </c>
      <c r="C25" s="13" t="s">
        <v>271</v>
      </c>
      <c r="D25" s="23" t="s">
        <v>295</v>
      </c>
      <c r="E25" s="38">
        <v>2.121</v>
      </c>
      <c r="F25" s="25">
        <v>5.2</v>
      </c>
      <c r="G25" s="39">
        <f>E25*Input!$C$15</f>
        <v>12996.716843765758</v>
      </c>
      <c r="H25" s="39">
        <f>E25*Input!$C$13</f>
        <v>1026.0549599999999</v>
      </c>
      <c r="I25" s="39">
        <f t="shared" si="2"/>
        <v>14022.771803765758</v>
      </c>
      <c r="J25" s="39">
        <f>I25*Input!$C$17</f>
        <v>3747.4876051537726</v>
      </c>
      <c r="K25" s="39">
        <f t="shared" si="0"/>
        <v>10275.284198611986</v>
      </c>
      <c r="L25" s="40">
        <f>(Input!$C$21*'Master Table'!G25)+Input!$C$20</f>
        <v>9656.0400000000009</v>
      </c>
      <c r="M25" s="39">
        <f>I25-L25</f>
        <v>4366.7318037657569</v>
      </c>
      <c r="N25" s="13">
        <f>VLOOKUP(A25,'Good Samaritan Hospital'!$G:$I,3,FALSE)</f>
        <v>13</v>
      </c>
      <c r="O25" s="77">
        <f t="shared" si="11"/>
        <v>56767.513448954836</v>
      </c>
      <c r="P25" s="70">
        <f t="shared" si="1"/>
        <v>4.7</v>
      </c>
      <c r="Q25" s="40">
        <f>(P25*Input!$C$21)+Input!$C$20</f>
        <v>8935.44</v>
      </c>
      <c r="R25" s="40">
        <f t="shared" si="4"/>
        <v>9367.8000000000047</v>
      </c>
      <c r="S25" s="41">
        <f t="shared" si="5"/>
        <v>-7.4626865671641826E-2</v>
      </c>
      <c r="T25" s="39">
        <f t="shared" si="6"/>
        <v>5087.3318037657573</v>
      </c>
      <c r="U25" s="107">
        <f t="shared" si="7"/>
        <v>66135.313448954839</v>
      </c>
    </row>
    <row r="26" spans="1:21" ht="16" x14ac:dyDescent="0.2">
      <c r="A26" s="53" t="s">
        <v>235</v>
      </c>
      <c r="B26" s="22" t="s">
        <v>288</v>
      </c>
      <c r="C26" s="13" t="s">
        <v>271</v>
      </c>
      <c r="D26" s="23" t="s">
        <v>296</v>
      </c>
      <c r="E26" s="38">
        <v>1.1002000000000001</v>
      </c>
      <c r="F26" s="25">
        <v>2.1</v>
      </c>
      <c r="G26" s="39">
        <f>E26*Input!$C$15</f>
        <v>6741.625587699712</v>
      </c>
      <c r="H26" s="39">
        <f>E26*Input!$C$13</f>
        <v>532.232752</v>
      </c>
      <c r="I26" s="39">
        <f t="shared" si="2"/>
        <v>7273.8583396997119</v>
      </c>
      <c r="J26" s="39">
        <f>I26*Input!$C$17</f>
        <v>1943.8877242763701</v>
      </c>
      <c r="K26" s="39">
        <f t="shared" si="0"/>
        <v>5329.9706154233418</v>
      </c>
      <c r="L26" s="40">
        <f>(Input!$C$21*'Master Table'!G26)+Input!$C$20</f>
        <v>5188.3200000000006</v>
      </c>
      <c r="M26" s="39">
        <f t="shared" si="3"/>
        <v>2085.5383396997113</v>
      </c>
      <c r="N26" s="13">
        <f>VLOOKUP(A26,'Good Samaritan Hospital'!$G:$I,3,FALSE)</f>
        <v>19</v>
      </c>
      <c r="O26" s="77">
        <f t="shared" si="11"/>
        <v>39625.228454294513</v>
      </c>
      <c r="P26" s="70">
        <f t="shared" si="1"/>
        <v>1.6</v>
      </c>
      <c r="Q26" s="40">
        <f>(P26*Input!$C$21)+Input!$C$20</f>
        <v>4467.72</v>
      </c>
      <c r="R26" s="40">
        <f t="shared" si="4"/>
        <v>13691.400000000007</v>
      </c>
      <c r="S26" s="41">
        <f t="shared" si="5"/>
        <v>-0.13888888888888895</v>
      </c>
      <c r="T26" s="39">
        <f t="shared" si="6"/>
        <v>2806.1383396997117</v>
      </c>
      <c r="U26" s="107">
        <f t="shared" si="7"/>
        <v>53316.628454294521</v>
      </c>
    </row>
    <row r="27" spans="1:21" ht="16" x14ac:dyDescent="0.2">
      <c r="A27" s="53" t="s">
        <v>201</v>
      </c>
      <c r="B27" s="22" t="s">
        <v>288</v>
      </c>
      <c r="C27" s="13" t="s">
        <v>271</v>
      </c>
      <c r="D27" s="23" t="s">
        <v>297</v>
      </c>
      <c r="E27" s="38">
        <v>1.2798</v>
      </c>
      <c r="F27" s="25">
        <v>3.9</v>
      </c>
      <c r="G27" s="39">
        <f>E27*Input!$C$15</f>
        <v>7842.1490884730874</v>
      </c>
      <c r="H27" s="39">
        <f>E27*Input!$C$13</f>
        <v>619.11604799999998</v>
      </c>
      <c r="I27" s="39">
        <f t="shared" si="2"/>
        <v>8461.2651364730882</v>
      </c>
      <c r="J27" s="39">
        <f>I27*Input!$C$17</f>
        <v>2261.2138788664774</v>
      </c>
      <c r="K27" s="39">
        <f t="shared" si="0"/>
        <v>6200.0512576066103</v>
      </c>
      <c r="L27" s="40">
        <f>(Input!$C$21*'Master Table'!G27)+Input!$C$20</f>
        <v>7782.4800000000005</v>
      </c>
      <c r="M27" s="39">
        <f t="shared" si="3"/>
        <v>678.78513647308773</v>
      </c>
      <c r="N27" s="13">
        <f>VLOOKUP(A27,'Good Samaritan Hospital'!$G:$I,3,FALSE)</f>
        <v>120</v>
      </c>
      <c r="O27" s="77">
        <f>M27*N27</f>
        <v>81454.216376770521</v>
      </c>
      <c r="P27" s="70">
        <f t="shared" si="1"/>
        <v>3.4</v>
      </c>
      <c r="Q27" s="40">
        <f>(P27*Input!$C$21)+Input!$C$20</f>
        <v>7061.88</v>
      </c>
      <c r="R27" s="40">
        <f t="shared" si="4"/>
        <v>86472.000000000044</v>
      </c>
      <c r="S27" s="41">
        <f t="shared" si="5"/>
        <v>-9.2592592592592629E-2</v>
      </c>
      <c r="T27" s="39">
        <f t="shared" si="6"/>
        <v>1399.3851364730881</v>
      </c>
      <c r="U27" s="107">
        <f t="shared" si="7"/>
        <v>167926.21637677058</v>
      </c>
    </row>
    <row r="28" spans="1:21" ht="16" x14ac:dyDescent="0.2">
      <c r="A28" s="53" t="s">
        <v>212</v>
      </c>
      <c r="B28" s="22" t="s">
        <v>288</v>
      </c>
      <c r="C28" s="13" t="s">
        <v>271</v>
      </c>
      <c r="D28" s="23" t="s">
        <v>298</v>
      </c>
      <c r="E28" s="38">
        <v>1.1726000000000001</v>
      </c>
      <c r="F28" s="25">
        <v>3.4</v>
      </c>
      <c r="G28" s="39">
        <f>E28*Input!$C$15</f>
        <v>7185.2664644034558</v>
      </c>
      <c r="H28" s="39">
        <f>E28*Input!$C$13</f>
        <v>567.25697600000001</v>
      </c>
      <c r="I28" s="39">
        <f t="shared" si="2"/>
        <v>7752.5234404034554</v>
      </c>
      <c r="J28" s="39">
        <f>I28*Input!$C$17</f>
        <v>2071.8076217837406</v>
      </c>
      <c r="K28" s="39">
        <f t="shared" si="0"/>
        <v>5680.7158186197148</v>
      </c>
      <c r="L28" s="40">
        <f>(Input!$C$21*'Master Table'!G28)+Input!$C$20</f>
        <v>7061.88</v>
      </c>
      <c r="M28" s="39">
        <f t="shared" si="3"/>
        <v>690.64344040345532</v>
      </c>
      <c r="N28" s="13">
        <f>VLOOKUP(A28,'Good Samaritan Hospital'!$G:$I,3,FALSE)</f>
        <v>17</v>
      </c>
      <c r="O28" s="77">
        <f t="shared" ref="O28:O29" si="12">M28*N28</f>
        <v>11740.93848685874</v>
      </c>
      <c r="P28" s="70">
        <f t="shared" si="1"/>
        <v>2.9</v>
      </c>
      <c r="Q28" s="40">
        <f>(P28*Input!$C$21)+Input!$C$20</f>
        <v>6341.28</v>
      </c>
      <c r="R28" s="40">
        <f t="shared" si="4"/>
        <v>12250.200000000006</v>
      </c>
      <c r="S28" s="41">
        <f t="shared" si="5"/>
        <v>-0.10204081632653066</v>
      </c>
      <c r="T28" s="39">
        <f t="shared" si="6"/>
        <v>1411.2434404034557</v>
      </c>
      <c r="U28" s="107">
        <f t="shared" si="7"/>
        <v>23991.138486858748</v>
      </c>
    </row>
    <row r="29" spans="1:21" ht="16" x14ac:dyDescent="0.2">
      <c r="A29" s="53" t="s">
        <v>232</v>
      </c>
      <c r="B29" s="22" t="s">
        <v>288</v>
      </c>
      <c r="C29" s="13" t="s">
        <v>271</v>
      </c>
      <c r="D29" s="23" t="s">
        <v>299</v>
      </c>
      <c r="E29" s="38">
        <v>0.73760000000000003</v>
      </c>
      <c r="F29" s="25">
        <v>2.2999999999999998</v>
      </c>
      <c r="G29" s="39">
        <f>E29*Input!$C$15</f>
        <v>4519.7446223298557</v>
      </c>
      <c r="H29" s="39">
        <f>E29*Input!$C$13</f>
        <v>356.82137599999999</v>
      </c>
      <c r="I29" s="39">
        <f t="shared" si="2"/>
        <v>4876.5659983298556</v>
      </c>
      <c r="J29" s="39">
        <f>I29*Input!$C$17</f>
        <v>1303.2281270916656</v>
      </c>
      <c r="K29" s="39">
        <f t="shared" si="0"/>
        <v>3573.33787123819</v>
      </c>
      <c r="L29" s="40">
        <f>(Input!$C$21*'Master Table'!G29)+Input!$C$20</f>
        <v>5476.5599999999995</v>
      </c>
      <c r="M29" s="39">
        <f t="shared" si="3"/>
        <v>-599.99400167014392</v>
      </c>
      <c r="N29" s="13">
        <f>VLOOKUP(A29,'Good Samaritan Hospital'!$G:$I,3,FALSE)</f>
        <v>27</v>
      </c>
      <c r="O29" s="77">
        <f t="shared" si="12"/>
        <v>-16199.838045093886</v>
      </c>
      <c r="P29" s="70">
        <f t="shared" si="1"/>
        <v>1.7999999999999998</v>
      </c>
      <c r="Q29" s="40">
        <f>(P29*Input!$C$21)+Input!$C$20</f>
        <v>4755.96</v>
      </c>
      <c r="R29" s="40">
        <f t="shared" si="4"/>
        <v>19456.199999999986</v>
      </c>
      <c r="S29" s="41">
        <f t="shared" si="5"/>
        <v>-0.13157894736842096</v>
      </c>
      <c r="T29" s="39">
        <f t="shared" si="6"/>
        <v>120.60599832985554</v>
      </c>
      <c r="U29" s="107">
        <f t="shared" si="7"/>
        <v>3256.3619549060995</v>
      </c>
    </row>
    <row r="30" spans="1:21" ht="16" x14ac:dyDescent="0.2">
      <c r="A30" s="53" t="s">
        <v>234</v>
      </c>
      <c r="B30" s="22" t="s">
        <v>288</v>
      </c>
      <c r="C30" s="13" t="s">
        <v>271</v>
      </c>
      <c r="D30" s="23" t="s">
        <v>300</v>
      </c>
      <c r="E30" s="38">
        <v>0.85270000000000001</v>
      </c>
      <c r="F30" s="25">
        <v>2.2999999999999998</v>
      </c>
      <c r="G30" s="39">
        <f>E30*Input!$C$15</f>
        <v>5225.0355741061121</v>
      </c>
      <c r="H30" s="39">
        <f>E30*Input!$C$13</f>
        <v>412.50215200000002</v>
      </c>
      <c r="I30" s="39">
        <f t="shared" si="2"/>
        <v>5637.5377261061121</v>
      </c>
      <c r="J30" s="39">
        <f>I30*Input!$C$17</f>
        <v>1506.5924945377758</v>
      </c>
      <c r="K30" s="39">
        <f t="shared" si="0"/>
        <v>4130.9452315683366</v>
      </c>
      <c r="L30" s="40">
        <f>(Input!$C$21*'Master Table'!G30)+Input!$C$20</f>
        <v>5476.5599999999995</v>
      </c>
      <c r="M30" s="39">
        <f t="shared" si="3"/>
        <v>160.97772610611264</v>
      </c>
      <c r="N30" s="13">
        <f>VLOOKUP(A30,'Good Samaritan Hospital'!$G:$I,3,FALSE)</f>
        <v>29</v>
      </c>
      <c r="O30" s="77">
        <f>M30*N30</f>
        <v>4668.3540570772666</v>
      </c>
      <c r="P30" s="70">
        <f t="shared" si="1"/>
        <v>1.7999999999999998</v>
      </c>
      <c r="Q30" s="40">
        <f>(P30*Input!$C$21)+Input!$C$20</f>
        <v>4755.96</v>
      </c>
      <c r="R30" s="40">
        <f t="shared" si="4"/>
        <v>20897.399999999983</v>
      </c>
      <c r="S30" s="41">
        <f t="shared" si="5"/>
        <v>-0.13157894736842096</v>
      </c>
      <c r="T30" s="39">
        <f t="shared" si="6"/>
        <v>881.5777261061121</v>
      </c>
      <c r="U30" s="107">
        <f t="shared" si="7"/>
        <v>25565.754057077251</v>
      </c>
    </row>
    <row r="31" spans="1:21" ht="16" x14ac:dyDescent="0.2">
      <c r="A31" s="53" t="s">
        <v>178</v>
      </c>
      <c r="B31" s="22" t="s">
        <v>301</v>
      </c>
      <c r="C31" s="13" t="s">
        <v>266</v>
      </c>
      <c r="D31" s="23" t="s">
        <v>303</v>
      </c>
      <c r="E31" s="38">
        <v>4.6233000000000004</v>
      </c>
      <c r="F31" s="25">
        <v>9.8000000000000007</v>
      </c>
      <c r="G31" s="39">
        <f>E31*Input!$C$15</f>
        <v>28329.901453928447</v>
      </c>
      <c r="H31" s="39">
        <f>E31*Input!$C$13</f>
        <v>2236.5676080000003</v>
      </c>
      <c r="I31" s="39">
        <f t="shared" si="2"/>
        <v>30566.469061928448</v>
      </c>
      <c r="J31" s="39">
        <f>I31*Input!$C$17</f>
        <v>8168.6748915169446</v>
      </c>
      <c r="K31" s="39">
        <f t="shared" si="0"/>
        <v>22397.794170411504</v>
      </c>
      <c r="L31" s="40">
        <f>(Input!$C$21*'Master Table'!G31)+Input!$C$20</f>
        <v>16285.560000000001</v>
      </c>
      <c r="M31" s="39">
        <f t="shared" si="3"/>
        <v>14280.909061928447</v>
      </c>
      <c r="N31" s="13">
        <f>VLOOKUP(A31,'Good Samaritan Hospital'!$G:$I,3,FALSE)</f>
        <v>17</v>
      </c>
      <c r="O31" s="77">
        <f t="shared" ref="O31:O37" si="13">M31*N31</f>
        <v>242775.45405278361</v>
      </c>
      <c r="P31" s="70">
        <f t="shared" si="1"/>
        <v>9.3000000000000007</v>
      </c>
      <c r="Q31" s="40">
        <f>(P31*Input!$C$21)+Input!$C$20</f>
        <v>15564.960000000003</v>
      </c>
      <c r="R31" s="40">
        <f t="shared" si="4"/>
        <v>12250.199999999975</v>
      </c>
      <c r="S31" s="41">
        <f t="shared" si="5"/>
        <v>-4.4247787610619378E-2</v>
      </c>
      <c r="T31" s="39">
        <f t="shared" si="6"/>
        <v>15001.509061928446</v>
      </c>
      <c r="U31" s="107">
        <f t="shared" si="7"/>
        <v>255025.65405278356</v>
      </c>
    </row>
    <row r="32" spans="1:21" ht="16" x14ac:dyDescent="0.2">
      <c r="A32" s="53" t="s">
        <v>184</v>
      </c>
      <c r="B32" s="22" t="s">
        <v>301</v>
      </c>
      <c r="C32" s="13" t="s">
        <v>266</v>
      </c>
      <c r="D32" s="23" t="s">
        <v>304</v>
      </c>
      <c r="E32" s="38">
        <v>2.4554</v>
      </c>
      <c r="F32" s="25">
        <v>5.3</v>
      </c>
      <c r="G32" s="39">
        <f>E32*Input!$C$15</f>
        <v>15045.798462132223</v>
      </c>
      <c r="H32" s="39">
        <f>E32*Input!$C$13</f>
        <v>1187.824304</v>
      </c>
      <c r="I32" s="39">
        <f t="shared" si="2"/>
        <v>16233.622766132223</v>
      </c>
      <c r="J32" s="39">
        <f>I32*Input!$C$17</f>
        <v>4338.322048889474</v>
      </c>
      <c r="K32" s="39">
        <f t="shared" si="0"/>
        <v>11895.30071724275</v>
      </c>
      <c r="L32" s="40">
        <f>(Input!$C$21*'Master Table'!G32)+Input!$C$20</f>
        <v>9800.16</v>
      </c>
      <c r="M32" s="39">
        <f t="shared" si="3"/>
        <v>6433.4627661322229</v>
      </c>
      <c r="N32" s="13">
        <f>VLOOKUP(A32,'Good Samaritan Hospital'!$G:$I,3,FALSE)</f>
        <v>26</v>
      </c>
      <c r="O32" s="77">
        <f t="shared" si="13"/>
        <v>167270.03191943781</v>
      </c>
      <c r="P32" s="70">
        <f t="shared" si="1"/>
        <v>4.8</v>
      </c>
      <c r="Q32" s="40">
        <f>(P32*Input!$C$21)+Input!$C$20</f>
        <v>9079.5600000000013</v>
      </c>
      <c r="R32" s="40">
        <f t="shared" si="4"/>
        <v>18735.599999999962</v>
      </c>
      <c r="S32" s="41">
        <f t="shared" si="5"/>
        <v>-7.3529411764705732E-2</v>
      </c>
      <c r="T32" s="39">
        <f t="shared" si="6"/>
        <v>7154.0627661322214</v>
      </c>
      <c r="U32" s="107">
        <f t="shared" si="7"/>
        <v>186005.63191943776</v>
      </c>
    </row>
    <row r="33" spans="1:21" ht="16" x14ac:dyDescent="0.2">
      <c r="A33" s="53" t="s">
        <v>193</v>
      </c>
      <c r="B33" s="22" t="s">
        <v>301</v>
      </c>
      <c r="C33" s="13" t="s">
        <v>271</v>
      </c>
      <c r="D33" s="23" t="s">
        <v>305</v>
      </c>
      <c r="E33" s="38">
        <v>1.778</v>
      </c>
      <c r="F33" s="25">
        <v>4.5</v>
      </c>
      <c r="G33" s="39">
        <f>E33*Input!$C$15</f>
        <v>10894.937552199679</v>
      </c>
      <c r="H33" s="39">
        <f>E33*Input!$C$13</f>
        <v>860.12527999999998</v>
      </c>
      <c r="I33" s="39">
        <f t="shared" si="2"/>
        <v>11755.062832199679</v>
      </c>
      <c r="J33" s="39">
        <f>I33*Input!$C$17</f>
        <v>3141.4582564655389</v>
      </c>
      <c r="K33" s="39">
        <f t="shared" si="0"/>
        <v>8613.6045757341399</v>
      </c>
      <c r="L33" s="40">
        <f>(Input!$C$21*'Master Table'!G33)+Input!$C$20</f>
        <v>8647.2000000000007</v>
      </c>
      <c r="M33" s="39">
        <f t="shared" si="3"/>
        <v>3107.8628321996785</v>
      </c>
      <c r="N33" s="13">
        <f>VLOOKUP(A33,'Good Samaritan Hospital'!$G:$I,3,FALSE)</f>
        <v>17</v>
      </c>
      <c r="O33" s="77">
        <f t="shared" si="13"/>
        <v>52833.668147394535</v>
      </c>
      <c r="P33" s="70">
        <f t="shared" si="1"/>
        <v>4</v>
      </c>
      <c r="Q33" s="40">
        <f>(P33*Input!$C$21)+Input!$C$20</f>
        <v>7926.6</v>
      </c>
      <c r="R33" s="40">
        <f t="shared" si="4"/>
        <v>12250.200000000006</v>
      </c>
      <c r="S33" s="41">
        <f t="shared" si="5"/>
        <v>-8.333333333333337E-2</v>
      </c>
      <c r="T33" s="39">
        <f t="shared" si="6"/>
        <v>3828.4628321996788</v>
      </c>
      <c r="U33" s="107">
        <f t="shared" si="7"/>
        <v>65083.86814739454</v>
      </c>
    </row>
    <row r="34" spans="1:21" ht="16" x14ac:dyDescent="0.2">
      <c r="A34" s="53" t="s">
        <v>218</v>
      </c>
      <c r="B34" s="22" t="s">
        <v>301</v>
      </c>
      <c r="C34" s="13" t="s">
        <v>271</v>
      </c>
      <c r="D34" s="23" t="s">
        <v>306</v>
      </c>
      <c r="E34" s="38">
        <v>0.98499999999999999</v>
      </c>
      <c r="F34" s="25">
        <v>3</v>
      </c>
      <c r="G34" s="39">
        <f>E34*Input!$C$15</f>
        <v>6035.7218722815996</v>
      </c>
      <c r="H34" s="39">
        <f>E34*Input!$C$13</f>
        <v>476.50360000000001</v>
      </c>
      <c r="I34" s="39">
        <f t="shared" si="2"/>
        <v>6512.2254722815997</v>
      </c>
      <c r="J34" s="39">
        <f>I34*Input!$C$17</f>
        <v>1740.3466718889515</v>
      </c>
      <c r="K34" s="39">
        <f t="shared" si="0"/>
        <v>4771.8788003926484</v>
      </c>
      <c r="L34" s="40">
        <f>(Input!$C$21*'Master Table'!G34)+Input!$C$20</f>
        <v>6485.4000000000005</v>
      </c>
      <c r="M34" s="39">
        <f t="shared" si="3"/>
        <v>26.825472281599104</v>
      </c>
      <c r="N34" s="13">
        <f>VLOOKUP(A34,'Good Samaritan Hospital'!$G:$I,3,FALSE)</f>
        <v>50</v>
      </c>
      <c r="O34" s="77">
        <f t="shared" si="13"/>
        <v>1341.2736140799552</v>
      </c>
      <c r="P34" s="70">
        <f t="shared" si="1"/>
        <v>2.5</v>
      </c>
      <c r="Q34" s="40">
        <f>(P34*Input!$C$21)+Input!$C$20</f>
        <v>5764.8</v>
      </c>
      <c r="R34" s="40">
        <f t="shared" si="4"/>
        <v>36030.000000000015</v>
      </c>
      <c r="S34" s="41">
        <f t="shared" si="5"/>
        <v>-0.11111111111111116</v>
      </c>
      <c r="T34" s="39">
        <f t="shared" si="6"/>
        <v>747.42547228159947</v>
      </c>
      <c r="U34" s="107">
        <f t="shared" si="7"/>
        <v>37371.273614079975</v>
      </c>
    </row>
    <row r="35" spans="1:21" ht="16" x14ac:dyDescent="0.2">
      <c r="A35" s="53" t="s">
        <v>191</v>
      </c>
      <c r="B35" s="22" t="s">
        <v>301</v>
      </c>
      <c r="C35" s="13" t="s">
        <v>271</v>
      </c>
      <c r="D35" s="23" t="s">
        <v>307</v>
      </c>
      <c r="E35" s="38">
        <v>1.4674</v>
      </c>
      <c r="F35" s="25">
        <v>4.5999999999999996</v>
      </c>
      <c r="G35" s="39">
        <f>E35*Input!$C$15</f>
        <v>8991.6936805949445</v>
      </c>
      <c r="H35" s="39">
        <f>E35*Input!$C$13</f>
        <v>709.86942399999998</v>
      </c>
      <c r="I35" s="39">
        <f t="shared" si="2"/>
        <v>9701.5631045949449</v>
      </c>
      <c r="J35" s="39">
        <f>I35*Input!$C$17</f>
        <v>2592.6748287612668</v>
      </c>
      <c r="K35" s="39">
        <f t="shared" si="0"/>
        <v>7108.8882758336786</v>
      </c>
      <c r="L35" s="40">
        <f>(Input!$C$21*'Master Table'!G35)+Input!$C$20</f>
        <v>8791.32</v>
      </c>
      <c r="M35" s="39">
        <f t="shared" si="3"/>
        <v>910.24310459494518</v>
      </c>
      <c r="N35" s="13">
        <f>VLOOKUP(A35,'Good Samaritan Hospital'!$G:$I,3,FALSE)</f>
        <v>14</v>
      </c>
      <c r="O35" s="77">
        <f t="shared" si="13"/>
        <v>12743.403464329233</v>
      </c>
      <c r="P35" s="70">
        <f t="shared" ref="P35:P67" si="14">F35-0.5</f>
        <v>4.0999999999999996</v>
      </c>
      <c r="Q35" s="40">
        <f>(P35*Input!$C$21)+Input!$C$20</f>
        <v>8070.72</v>
      </c>
      <c r="R35" s="40">
        <f t="shared" si="4"/>
        <v>10088.399999999992</v>
      </c>
      <c r="S35" s="41">
        <f t="shared" si="5"/>
        <v>-8.1967213114754037E-2</v>
      </c>
      <c r="T35" s="39">
        <f t="shared" si="6"/>
        <v>1630.8431045949446</v>
      </c>
      <c r="U35" s="107">
        <f t="shared" si="7"/>
        <v>22831.803464329227</v>
      </c>
    </row>
    <row r="36" spans="1:21" ht="16" x14ac:dyDescent="0.2">
      <c r="A36" s="53" t="s">
        <v>220</v>
      </c>
      <c r="B36" s="22" t="s">
        <v>301</v>
      </c>
      <c r="C36" s="13" t="s">
        <v>271</v>
      </c>
      <c r="D36" s="23" t="s">
        <v>308</v>
      </c>
      <c r="E36" s="38">
        <v>0.80710000000000004</v>
      </c>
      <c r="F36" s="25">
        <v>3</v>
      </c>
      <c r="G36" s="39">
        <f>E36*Input!$C$15</f>
        <v>4945.6153534197756</v>
      </c>
      <c r="H36" s="39">
        <f>E36*Input!$C$13</f>
        <v>390.44269600000001</v>
      </c>
      <c r="I36" s="39">
        <f t="shared" si="2"/>
        <v>5336.0580494197757</v>
      </c>
      <c r="J36" s="39">
        <f>I36*Input!$C$17</f>
        <v>1426.0241613010892</v>
      </c>
      <c r="K36" s="39">
        <f t="shared" si="0"/>
        <v>3910.0338881186863</v>
      </c>
      <c r="L36" s="40">
        <f>(Input!$C$21*'Master Table'!G36)+Input!$C$20</f>
        <v>6485.4000000000005</v>
      </c>
      <c r="M36" s="39">
        <f t="shared" si="3"/>
        <v>-1149.3419505802249</v>
      </c>
      <c r="N36" s="13">
        <f>VLOOKUP(A36,'Good Samaritan Hospital'!$G:$I,3,FALSE)</f>
        <v>17</v>
      </c>
      <c r="O36" s="77">
        <f t="shared" si="13"/>
        <v>-19538.813159863821</v>
      </c>
      <c r="P36" s="70">
        <f t="shared" si="14"/>
        <v>2.5</v>
      </c>
      <c r="Q36" s="40">
        <f>(P36*Input!$C$21)+Input!$C$20</f>
        <v>5764.8</v>
      </c>
      <c r="R36" s="40">
        <f t="shared" si="4"/>
        <v>12250.200000000006</v>
      </c>
      <c r="S36" s="41">
        <f t="shared" si="5"/>
        <v>-0.11111111111111116</v>
      </c>
      <c r="T36" s="39">
        <f t="shared" si="6"/>
        <v>-428.74195058022451</v>
      </c>
      <c r="U36" s="107">
        <f t="shared" si="7"/>
        <v>-7288.6131598638167</v>
      </c>
    </row>
    <row r="37" spans="1:21" ht="16" x14ac:dyDescent="0.2">
      <c r="A37" s="53" t="s">
        <v>233</v>
      </c>
      <c r="B37" s="22" t="s">
        <v>301</v>
      </c>
      <c r="C37" s="13" t="s">
        <v>271</v>
      </c>
      <c r="D37" s="23" t="s">
        <v>309</v>
      </c>
      <c r="E37" s="38">
        <v>0.5655</v>
      </c>
      <c r="F37" s="25">
        <v>2.2999999999999998</v>
      </c>
      <c r="G37" s="39">
        <f>E37*Input!$C$15</f>
        <v>3465.1783946956798</v>
      </c>
      <c r="H37" s="39">
        <f>E37*Input!$C$13</f>
        <v>273.56628000000001</v>
      </c>
      <c r="I37" s="39">
        <f t="shared" si="2"/>
        <v>3738.7446746956798</v>
      </c>
      <c r="J37" s="39">
        <f>I37*Input!$C$17</f>
        <v>999.15334309969762</v>
      </c>
      <c r="K37" s="39">
        <f t="shared" si="0"/>
        <v>2739.5913315959824</v>
      </c>
      <c r="L37" s="40">
        <f>(Input!$C$21*'Master Table'!G37)+Input!$C$20</f>
        <v>5476.5599999999995</v>
      </c>
      <c r="M37" s="39">
        <f t="shared" si="3"/>
        <v>-1737.8153253043197</v>
      </c>
      <c r="N37" s="13">
        <f>VLOOKUP(A37,'Good Samaritan Hospital'!$G:$I,3,FALSE)</f>
        <v>12</v>
      </c>
      <c r="O37" s="77">
        <f t="shared" si="13"/>
        <v>-20853.783903651834</v>
      </c>
      <c r="P37" s="70">
        <f t="shared" si="14"/>
        <v>1.7999999999999998</v>
      </c>
      <c r="Q37" s="40">
        <f>(P37*Input!$C$21)+Input!$C$20</f>
        <v>4755.96</v>
      </c>
      <c r="R37" s="40">
        <f t="shared" si="4"/>
        <v>8647.1999999999935</v>
      </c>
      <c r="S37" s="41">
        <f t="shared" si="5"/>
        <v>-0.13157894736842096</v>
      </c>
      <c r="T37" s="39">
        <f t="shared" si="6"/>
        <v>-1017.2153253043202</v>
      </c>
      <c r="U37" s="107">
        <f t="shared" si="7"/>
        <v>-12206.583903651843</v>
      </c>
    </row>
    <row r="38" spans="1:21" ht="16" x14ac:dyDescent="0.2">
      <c r="A38" s="53" t="s">
        <v>227</v>
      </c>
      <c r="B38" s="22" t="s">
        <v>301</v>
      </c>
      <c r="C38" s="13" t="s">
        <v>271</v>
      </c>
      <c r="D38" s="23" t="s">
        <v>310</v>
      </c>
      <c r="E38" s="38">
        <v>0.78759999999999997</v>
      </c>
      <c r="F38" s="25">
        <v>2.6</v>
      </c>
      <c r="G38" s="39">
        <f>E38*Input!$C$15</f>
        <v>4826.1264432578555</v>
      </c>
      <c r="H38" s="39">
        <f>E38*Input!$C$13</f>
        <v>381.00937599999997</v>
      </c>
      <c r="I38" s="39">
        <f t="shared" si="2"/>
        <v>5207.1358192578555</v>
      </c>
      <c r="J38" s="39">
        <f>I38*Input!$C$17</f>
        <v>1391.5705977459272</v>
      </c>
      <c r="K38" s="39">
        <f t="shared" si="0"/>
        <v>3815.565221511928</v>
      </c>
      <c r="L38" s="40">
        <f>(Input!$C$21*'Master Table'!G38)+Input!$C$20</f>
        <v>5908.92</v>
      </c>
      <c r="M38" s="39">
        <f t="shared" si="3"/>
        <v>-701.7841807421446</v>
      </c>
      <c r="N38" s="13">
        <f>VLOOKUP(A38,'Good Samaritan Hospital'!$G:$I,3,FALSE)</f>
        <v>33</v>
      </c>
      <c r="O38" s="77">
        <f>M38*N38</f>
        <v>-23158.87796449077</v>
      </c>
      <c r="P38" s="70">
        <f t="shared" si="14"/>
        <v>2.1</v>
      </c>
      <c r="Q38" s="40">
        <f>(P38*Input!$C$21)+Input!$C$20</f>
        <v>5188.3200000000006</v>
      </c>
      <c r="R38" s="40">
        <f t="shared" si="4"/>
        <v>23779.799999999981</v>
      </c>
      <c r="S38" s="41">
        <f t="shared" si="5"/>
        <v>-0.12195121951219502</v>
      </c>
      <c r="T38" s="39">
        <f t="shared" si="6"/>
        <v>18.815819257854855</v>
      </c>
      <c r="U38" s="107">
        <f t="shared" si="7"/>
        <v>620.92203550921022</v>
      </c>
    </row>
    <row r="39" spans="1:21" ht="16" x14ac:dyDescent="0.2">
      <c r="A39" s="53" t="s">
        <v>219</v>
      </c>
      <c r="B39" s="22" t="s">
        <v>301</v>
      </c>
      <c r="C39" s="13" t="s">
        <v>271</v>
      </c>
      <c r="D39" s="23" t="s">
        <v>311</v>
      </c>
      <c r="E39" s="38">
        <v>0.94299999999999995</v>
      </c>
      <c r="F39" s="25">
        <v>3</v>
      </c>
      <c r="G39" s="39">
        <f>E39*Input!$C$15</f>
        <v>5778.3611427020796</v>
      </c>
      <c r="H39" s="39">
        <f>E39*Input!$C$13</f>
        <v>456.18567999999999</v>
      </c>
      <c r="I39" s="39">
        <f t="shared" si="2"/>
        <v>6234.5468227020792</v>
      </c>
      <c r="J39" s="39">
        <f>I39*Input!$C$17</f>
        <v>1666.1389965393719</v>
      </c>
      <c r="K39" s="39">
        <f t="shared" si="0"/>
        <v>4568.4078261627074</v>
      </c>
      <c r="L39" s="40">
        <f>(Input!$C$21*'Master Table'!G39)+Input!$C$20</f>
        <v>6485.4000000000005</v>
      </c>
      <c r="M39" s="39">
        <f t="shared" si="3"/>
        <v>-250.85317729792132</v>
      </c>
      <c r="N39" s="13">
        <f>VLOOKUP(A39,'Good Samaritan Hospital'!$G:$I,3,FALSE)</f>
        <v>12</v>
      </c>
      <c r="O39" s="77">
        <f>M39*N39</f>
        <v>-3010.2381275750558</v>
      </c>
      <c r="P39" s="70">
        <f t="shared" si="14"/>
        <v>2.5</v>
      </c>
      <c r="Q39" s="40">
        <f>(P39*Input!$C$21)+Input!$C$20</f>
        <v>5764.8</v>
      </c>
      <c r="R39" s="40">
        <f t="shared" si="4"/>
        <v>8647.2000000000044</v>
      </c>
      <c r="S39" s="41">
        <f t="shared" si="5"/>
        <v>-0.11111111111111116</v>
      </c>
      <c r="T39" s="39">
        <f t="shared" si="6"/>
        <v>469.74682270207904</v>
      </c>
      <c r="U39" s="107">
        <f t="shared" si="7"/>
        <v>5636.9618724249485</v>
      </c>
    </row>
    <row r="40" spans="1:21" ht="16" x14ac:dyDescent="0.2">
      <c r="A40" s="53" t="s">
        <v>213</v>
      </c>
      <c r="B40" s="22" t="s">
        <v>312</v>
      </c>
      <c r="C40" s="13" t="s">
        <v>266</v>
      </c>
      <c r="D40" s="23" t="s">
        <v>314</v>
      </c>
      <c r="E40" s="38">
        <v>1.661</v>
      </c>
      <c r="F40" s="25">
        <v>3.4</v>
      </c>
      <c r="G40" s="39">
        <f>E40*Input!$C$15</f>
        <v>10178.00409122816</v>
      </c>
      <c r="H40" s="39">
        <f>E40*Input!$C$13</f>
        <v>803.52535999999998</v>
      </c>
      <c r="I40" s="39">
        <f t="shared" si="2"/>
        <v>10981.52945122816</v>
      </c>
      <c r="J40" s="39">
        <f>I40*Input!$C$17</f>
        <v>2934.7368751345671</v>
      </c>
      <c r="K40" s="39">
        <f t="shared" si="0"/>
        <v>8046.7925760935923</v>
      </c>
      <c r="L40" s="40">
        <f>(Input!$C$21*'Master Table'!G40)+Input!$C$20</f>
        <v>7061.88</v>
      </c>
      <c r="M40" s="39">
        <f t="shared" si="3"/>
        <v>3919.6494512281597</v>
      </c>
      <c r="N40" s="13">
        <f>VLOOKUP(A40,'Good Samaritan Hospital'!$G:$I,3,FALSE)</f>
        <v>14</v>
      </c>
      <c r="O40" s="77">
        <f>M40*N40</f>
        <v>54875.092317194234</v>
      </c>
      <c r="P40" s="70">
        <f t="shared" si="14"/>
        <v>2.9</v>
      </c>
      <c r="Q40" s="40">
        <f>(P40*Input!$C$21)+Input!$C$20</f>
        <v>6341.28</v>
      </c>
      <c r="R40" s="40">
        <f t="shared" si="4"/>
        <v>10088.400000000005</v>
      </c>
      <c r="S40" s="41">
        <f t="shared" si="5"/>
        <v>-0.10204081632653066</v>
      </c>
      <c r="T40" s="39">
        <f t="shared" si="6"/>
        <v>4640.2494512281601</v>
      </c>
      <c r="U40" s="107">
        <f t="shared" si="7"/>
        <v>64963.492317194243</v>
      </c>
    </row>
    <row r="41" spans="1:21" ht="16" x14ac:dyDescent="0.2">
      <c r="A41" s="53" t="s">
        <v>181</v>
      </c>
      <c r="B41" s="22" t="s">
        <v>315</v>
      </c>
      <c r="C41" s="13" t="s">
        <v>266</v>
      </c>
      <c r="D41" s="23" t="s">
        <v>317</v>
      </c>
      <c r="E41" s="38">
        <v>9.1547999999999998</v>
      </c>
      <c r="F41" s="25">
        <v>7.5</v>
      </c>
      <c r="G41" s="39">
        <f>E41*Input!$C$15</f>
        <v>56097.285884633086</v>
      </c>
      <c r="H41" s="39">
        <f>E41*Input!$C$13</f>
        <v>4428.7260479999995</v>
      </c>
      <c r="I41" s="39">
        <f t="shared" si="2"/>
        <v>60526.011932633082</v>
      </c>
      <c r="J41" s="39">
        <f>I41*Input!$C$17</f>
        <v>16175.153006912664</v>
      </c>
      <c r="K41" s="39">
        <f t="shared" si="0"/>
        <v>44350.858925720415</v>
      </c>
      <c r="L41" s="40">
        <f>(Input!$C$21*'Master Table'!G41)+Input!$C$20</f>
        <v>12970.8</v>
      </c>
      <c r="M41" s="39">
        <f t="shared" si="3"/>
        <v>47555.211932633087</v>
      </c>
      <c r="N41" s="13">
        <f>VLOOKUP(A41,'Good Samaritan Hospital'!$G:$I,3,FALSE)</f>
        <v>25</v>
      </c>
      <c r="O41" s="77">
        <f t="shared" ref="O41:O43" si="15">M41*N41</f>
        <v>1188880.2983158273</v>
      </c>
      <c r="P41" s="70">
        <f t="shared" si="14"/>
        <v>7</v>
      </c>
      <c r="Q41" s="40">
        <f>(P41*Input!$C$21)+Input!$C$20</f>
        <v>12250.2</v>
      </c>
      <c r="R41" s="40">
        <f t="shared" si="4"/>
        <v>18014.999999999964</v>
      </c>
      <c r="S41" s="41">
        <f t="shared" si="5"/>
        <v>-5.5555555555555448E-2</v>
      </c>
      <c r="T41" s="39">
        <f t="shared" si="6"/>
        <v>48275.811932633078</v>
      </c>
      <c r="U41" s="107">
        <f t="shared" si="7"/>
        <v>1206895.298315827</v>
      </c>
    </row>
    <row r="42" spans="1:21" ht="16" x14ac:dyDescent="0.2">
      <c r="A42" s="53" t="s">
        <v>206</v>
      </c>
      <c r="B42" s="22" t="s">
        <v>315</v>
      </c>
      <c r="C42" s="13" t="s">
        <v>266</v>
      </c>
      <c r="D42" s="23" t="s">
        <v>318</v>
      </c>
      <c r="E42" s="38">
        <v>6.0909000000000004</v>
      </c>
      <c r="F42" s="25">
        <v>3.7</v>
      </c>
      <c r="G42" s="39">
        <f>E42*Input!$C$15</f>
        <v>37322.820661807105</v>
      </c>
      <c r="H42" s="39">
        <f>E42*Input!$C$13</f>
        <v>2946.5337840000002</v>
      </c>
      <c r="I42" s="39">
        <f t="shared" si="2"/>
        <v>40269.354445807105</v>
      </c>
      <c r="J42" s="39">
        <f>I42*Input!$C$17</f>
        <v>10761.703090160829</v>
      </c>
      <c r="K42" s="39">
        <f t="shared" si="0"/>
        <v>29507.651355646274</v>
      </c>
      <c r="L42" s="40">
        <f>(Input!$C$21*'Master Table'!G42)+Input!$C$20</f>
        <v>7494.2400000000007</v>
      </c>
      <c r="M42" s="39">
        <f t="shared" si="3"/>
        <v>32775.114445807107</v>
      </c>
      <c r="N42" s="13">
        <f>VLOOKUP(A42,'Good Samaritan Hospital'!$G:$I,3,FALSE)</f>
        <v>46</v>
      </c>
      <c r="O42" s="77">
        <f t="shared" si="15"/>
        <v>1507655.264507127</v>
      </c>
      <c r="P42" s="70">
        <f t="shared" si="14"/>
        <v>3.2</v>
      </c>
      <c r="Q42" s="40">
        <f>(P42*Input!$C$21)+Input!$C$20</f>
        <v>6773.64</v>
      </c>
      <c r="R42" s="40">
        <f t="shared" si="4"/>
        <v>33147.60000000002</v>
      </c>
      <c r="S42" s="41">
        <f t="shared" si="5"/>
        <v>-9.6153846153846187E-2</v>
      </c>
      <c r="T42" s="39">
        <f t="shared" si="6"/>
        <v>33495.714445807105</v>
      </c>
      <c r="U42" s="107">
        <f t="shared" si="7"/>
        <v>1540802.8645071269</v>
      </c>
    </row>
    <row r="43" spans="1:21" ht="16" x14ac:dyDescent="0.2">
      <c r="A43" s="53" t="s">
        <v>230</v>
      </c>
      <c r="B43" s="22" t="s">
        <v>315</v>
      </c>
      <c r="C43" s="13" t="s">
        <v>266</v>
      </c>
      <c r="D43" s="23" t="s">
        <v>319</v>
      </c>
      <c r="E43" s="38">
        <v>4.7880000000000003</v>
      </c>
      <c r="F43" s="25">
        <v>2.4</v>
      </c>
      <c r="G43" s="39">
        <f>E43*Input!$C$15</f>
        <v>29339.12317206528</v>
      </c>
      <c r="H43" s="39">
        <f>E43*Input!$C$13</f>
        <v>2316.2428800000002</v>
      </c>
      <c r="I43" s="39">
        <f t="shared" si="2"/>
        <v>31655.366052065281</v>
      </c>
      <c r="J43" s="39">
        <f>I43*Input!$C$17</f>
        <v>8459.6749898520829</v>
      </c>
      <c r="K43" s="39">
        <f t="shared" si="0"/>
        <v>23195.691062213198</v>
      </c>
      <c r="L43" s="40">
        <f>(Input!$C$21*'Master Table'!G43)+Input!$C$20</f>
        <v>5620.68</v>
      </c>
      <c r="M43" s="39">
        <f t="shared" si="3"/>
        <v>26034.686052065281</v>
      </c>
      <c r="N43" s="13">
        <f>VLOOKUP(A43,'Good Samaritan Hospital'!$G:$I,3,FALSE)</f>
        <v>42</v>
      </c>
      <c r="O43" s="77">
        <f t="shared" si="15"/>
        <v>1093456.8141867418</v>
      </c>
      <c r="P43" s="70">
        <f t="shared" si="14"/>
        <v>1.9</v>
      </c>
      <c r="Q43" s="40">
        <f>(P43*Input!$C$21)+Input!$C$20</f>
        <v>4900.08</v>
      </c>
      <c r="R43" s="40">
        <f t="shared" si="4"/>
        <v>30265.200000000015</v>
      </c>
      <c r="S43" s="41">
        <f t="shared" si="5"/>
        <v>-0.12820512820512828</v>
      </c>
      <c r="T43" s="39">
        <f t="shared" si="6"/>
        <v>26755.286052065283</v>
      </c>
      <c r="U43" s="107">
        <f t="shared" si="7"/>
        <v>1123722.0141867418</v>
      </c>
    </row>
    <row r="44" spans="1:21" ht="16" x14ac:dyDescent="0.2">
      <c r="A44" s="53" t="s">
        <v>222</v>
      </c>
      <c r="B44" s="22" t="s">
        <v>315</v>
      </c>
      <c r="C44" s="13" t="s">
        <v>266</v>
      </c>
      <c r="D44" s="23" t="s">
        <v>320</v>
      </c>
      <c r="E44" s="38">
        <v>3.766</v>
      </c>
      <c r="F44" s="25">
        <v>2.8</v>
      </c>
      <c r="G44" s="39">
        <f>E44*Input!$C$15</f>
        <v>23076.678752296957</v>
      </c>
      <c r="H44" s="39">
        <f>E44*Input!$C$13</f>
        <v>1821.84016</v>
      </c>
      <c r="I44" s="39">
        <f t="shared" si="2"/>
        <v>24898.518912296957</v>
      </c>
      <c r="J44" s="39">
        <f>I44*Input!$C$17</f>
        <v>6653.9548896789756</v>
      </c>
      <c r="K44" s="39">
        <f t="shared" si="0"/>
        <v>18244.564022617982</v>
      </c>
      <c r="L44" s="40">
        <f>(Input!$C$21*'Master Table'!G44)+Input!$C$20</f>
        <v>6197.16</v>
      </c>
      <c r="M44" s="39">
        <f t="shared" si="3"/>
        <v>18701.358912296957</v>
      </c>
      <c r="N44" s="13">
        <f>VLOOKUP(A44,'Good Samaritan Hospital'!$G:$I,3,FALSE)</f>
        <v>16</v>
      </c>
      <c r="O44" s="77">
        <f t="shared" ref="O44:O52" si="16">M44*N44</f>
        <v>299221.74259675131</v>
      </c>
      <c r="P44" s="70">
        <f t="shared" si="14"/>
        <v>2.2999999999999998</v>
      </c>
      <c r="Q44" s="40">
        <f>(P44*Input!$C$21)+Input!$C$20</f>
        <v>5476.5599999999995</v>
      </c>
      <c r="R44" s="40">
        <f t="shared" si="4"/>
        <v>11529.600000000006</v>
      </c>
      <c r="S44" s="41">
        <f t="shared" si="5"/>
        <v>-0.11627906976744193</v>
      </c>
      <c r="T44" s="39">
        <f t="shared" si="6"/>
        <v>19421.958912296956</v>
      </c>
      <c r="U44" s="107">
        <f t="shared" si="7"/>
        <v>310751.34259675129</v>
      </c>
    </row>
    <row r="45" spans="1:21" ht="16" x14ac:dyDescent="0.2">
      <c r="A45" s="53" t="s">
        <v>239</v>
      </c>
      <c r="B45" s="22" t="s">
        <v>315</v>
      </c>
      <c r="C45" s="13" t="s">
        <v>266</v>
      </c>
      <c r="D45" s="23" t="s">
        <v>321</v>
      </c>
      <c r="E45" s="38">
        <v>1.9118999999999999</v>
      </c>
      <c r="F45" s="25">
        <v>1.7</v>
      </c>
      <c r="G45" s="39">
        <f>E45*Input!$C$15</f>
        <v>11715.428068644862</v>
      </c>
      <c r="H45" s="39">
        <f>E45*Input!$C$13</f>
        <v>924.90074399999992</v>
      </c>
      <c r="I45" s="39">
        <f t="shared" si="2"/>
        <v>12640.328812644862</v>
      </c>
      <c r="J45" s="39">
        <f>I45*Input!$C$17</f>
        <v>3378.0393928776512</v>
      </c>
      <c r="K45" s="39">
        <f t="shared" si="0"/>
        <v>9262.2894197672103</v>
      </c>
      <c r="L45" s="40">
        <f>(Input!$C$21*'Master Table'!G45)+Input!$C$20</f>
        <v>4611.84</v>
      </c>
      <c r="M45" s="39">
        <f t="shared" si="3"/>
        <v>8028.4888126448623</v>
      </c>
      <c r="N45" s="13">
        <f>VLOOKUP(A45,'Good Samaritan Hospital'!$G:$I,3,FALSE)</f>
        <v>31</v>
      </c>
      <c r="O45" s="77">
        <f t="shared" si="16"/>
        <v>248883.15319199074</v>
      </c>
      <c r="P45" s="70">
        <f t="shared" si="14"/>
        <v>1.2</v>
      </c>
      <c r="Q45" s="40">
        <f>(P45*Input!$C$21)+Input!$C$20</f>
        <v>3891.2400000000002</v>
      </c>
      <c r="R45" s="40">
        <f t="shared" si="4"/>
        <v>22338.6</v>
      </c>
      <c r="S45" s="41">
        <f t="shared" si="5"/>
        <v>-0.15624999999999997</v>
      </c>
      <c r="T45" s="39">
        <f t="shared" si="6"/>
        <v>8749.0888126448626</v>
      </c>
      <c r="U45" s="107">
        <f t="shared" si="7"/>
        <v>271221.75319199072</v>
      </c>
    </row>
    <row r="46" spans="1:21" ht="16" x14ac:dyDescent="0.2">
      <c r="A46" s="53" t="s">
        <v>194</v>
      </c>
      <c r="B46" s="22" t="s">
        <v>315</v>
      </c>
      <c r="C46" s="13" t="s">
        <v>266</v>
      </c>
      <c r="D46" s="23" t="s">
        <v>322</v>
      </c>
      <c r="E46" s="38">
        <v>2.1124000000000001</v>
      </c>
      <c r="F46" s="25">
        <v>4.4000000000000004</v>
      </c>
      <c r="G46" s="39">
        <f>E46*Input!$C$15</f>
        <v>12944.019170566144</v>
      </c>
      <c r="H46" s="39">
        <f>E46*Input!$C$13</f>
        <v>1021.894624</v>
      </c>
      <c r="I46" s="39">
        <f t="shared" si="2"/>
        <v>13965.913794566144</v>
      </c>
      <c r="J46" s="39">
        <f>I46*Input!$C$17</f>
        <v>3732.2927002012402</v>
      </c>
      <c r="K46" s="39">
        <f t="shared" si="0"/>
        <v>10233.621094364904</v>
      </c>
      <c r="L46" s="40">
        <f>(Input!$C$21*'Master Table'!G46)+Input!$C$20</f>
        <v>8503.0800000000017</v>
      </c>
      <c r="M46" s="39">
        <f t="shared" si="3"/>
        <v>5462.8337945661424</v>
      </c>
      <c r="N46" s="13">
        <f>VLOOKUP(A46,'Good Samaritan Hospital'!$G:$I,3,FALSE)</f>
        <v>22</v>
      </c>
      <c r="O46" s="77">
        <f t="shared" si="16"/>
        <v>120182.34348045514</v>
      </c>
      <c r="P46" s="70">
        <f t="shared" si="14"/>
        <v>3.9000000000000004</v>
      </c>
      <c r="Q46" s="40">
        <f>(P46*Input!$C$21)+Input!$C$20</f>
        <v>7782.4800000000005</v>
      </c>
      <c r="R46" s="40">
        <f t="shared" si="4"/>
        <v>15853.200000000028</v>
      </c>
      <c r="S46" s="41">
        <f t="shared" si="5"/>
        <v>-8.4745762711864542E-2</v>
      </c>
      <c r="T46" s="39">
        <f t="shared" si="6"/>
        <v>6183.4337945661437</v>
      </c>
      <c r="U46" s="107">
        <f t="shared" si="7"/>
        <v>136035.54348045515</v>
      </c>
    </row>
    <row r="47" spans="1:21" ht="16" x14ac:dyDescent="0.2">
      <c r="A47" s="53" t="s">
        <v>241</v>
      </c>
      <c r="B47" s="22" t="s">
        <v>315</v>
      </c>
      <c r="C47" s="13" t="s">
        <v>266</v>
      </c>
      <c r="D47" s="23" t="s">
        <v>323</v>
      </c>
      <c r="E47" s="38">
        <v>2.3576000000000001</v>
      </c>
      <c r="F47" s="25">
        <v>1.4</v>
      </c>
      <c r="G47" s="39">
        <f>E47*Input!$C$15</f>
        <v>14446.515620397056</v>
      </c>
      <c r="H47" s="39">
        <f>E47*Input!$C$13</f>
        <v>1140.5125760000001</v>
      </c>
      <c r="I47" s="39">
        <f t="shared" si="2"/>
        <v>15587.028196397056</v>
      </c>
      <c r="J47" s="39">
        <f>I47*Input!$C$17</f>
        <v>4165.5241762897385</v>
      </c>
      <c r="K47" s="39">
        <f t="shared" si="0"/>
        <v>11421.504020107317</v>
      </c>
      <c r="L47" s="40">
        <f>(Input!$C$21*'Master Table'!G47)+Input!$C$20</f>
        <v>4179.4799999999996</v>
      </c>
      <c r="M47" s="39">
        <f t="shared" si="3"/>
        <v>11407.548196397056</v>
      </c>
      <c r="N47" s="13">
        <f>VLOOKUP(A47,'Good Samaritan Hospital'!$G:$I,3,FALSE)</f>
        <v>19</v>
      </c>
      <c r="O47" s="77">
        <f t="shared" si="16"/>
        <v>216743.41573154405</v>
      </c>
      <c r="P47" s="70">
        <f t="shared" si="14"/>
        <v>0.89999999999999991</v>
      </c>
      <c r="Q47" s="40">
        <f>(P47*Input!$C$21)+Input!$C$20</f>
        <v>3458.88</v>
      </c>
      <c r="R47" s="40">
        <f t="shared" si="4"/>
        <v>13691.399999999991</v>
      </c>
      <c r="S47" s="41">
        <f t="shared" si="5"/>
        <v>-0.17241379310344818</v>
      </c>
      <c r="T47" s="39">
        <f t="shared" si="6"/>
        <v>12128.148196397055</v>
      </c>
      <c r="U47" s="107">
        <f t="shared" si="7"/>
        <v>230434.81573154405</v>
      </c>
    </row>
    <row r="48" spans="1:21" ht="16" x14ac:dyDescent="0.2">
      <c r="A48" s="53" t="s">
        <v>199</v>
      </c>
      <c r="B48" s="22" t="s">
        <v>315</v>
      </c>
      <c r="C48" s="13" t="s">
        <v>266</v>
      </c>
      <c r="D48" s="23" t="s">
        <v>324</v>
      </c>
      <c r="E48" s="38">
        <v>2.1728999999999998</v>
      </c>
      <c r="F48" s="25">
        <v>4</v>
      </c>
      <c r="G48" s="39">
        <f>E48*Input!$C$15</f>
        <v>13314.741173889022</v>
      </c>
      <c r="H48" s="39">
        <f>E48*Input!$C$13</f>
        <v>1051.162104</v>
      </c>
      <c r="I48" s="39">
        <f t="shared" si="2"/>
        <v>14365.903277889021</v>
      </c>
      <c r="J48" s="39">
        <f>I48*Input!$C$17</f>
        <v>3839.1870896928958</v>
      </c>
      <c r="K48" s="39">
        <f t="shared" si="0"/>
        <v>10526.716188196126</v>
      </c>
      <c r="L48" s="40">
        <f>(Input!$C$21*'Master Table'!G48)+Input!$C$20</f>
        <v>7926.6</v>
      </c>
      <c r="M48" s="39">
        <f t="shared" si="3"/>
        <v>6439.303277889021</v>
      </c>
      <c r="N48" s="13">
        <f>VLOOKUP(A48,'Good Samaritan Hospital'!$G:$I,3,FALSE)</f>
        <v>14</v>
      </c>
      <c r="O48" s="77">
        <f t="shared" si="16"/>
        <v>90150.245890446298</v>
      </c>
      <c r="P48" s="70">
        <f t="shared" si="14"/>
        <v>3.5</v>
      </c>
      <c r="Q48" s="40">
        <f>(P48*Input!$C$21)+Input!$C$20</f>
        <v>7206</v>
      </c>
      <c r="R48" s="40">
        <f t="shared" si="4"/>
        <v>10088.400000000005</v>
      </c>
      <c r="S48" s="41">
        <f t="shared" si="5"/>
        <v>-9.0909090909090953E-2</v>
      </c>
      <c r="T48" s="39">
        <f t="shared" si="6"/>
        <v>7159.9032778890214</v>
      </c>
      <c r="U48" s="107">
        <f t="shared" si="7"/>
        <v>100238.64589044629</v>
      </c>
    </row>
    <row r="49" spans="1:21" ht="16" x14ac:dyDescent="0.2">
      <c r="A49" s="53" t="s">
        <v>224</v>
      </c>
      <c r="B49" s="22" t="s">
        <v>315</v>
      </c>
      <c r="C49" s="13" t="s">
        <v>271</v>
      </c>
      <c r="D49" s="23" t="s">
        <v>325</v>
      </c>
      <c r="E49" s="38">
        <v>0.96050000000000002</v>
      </c>
      <c r="F49" s="25">
        <v>2.8</v>
      </c>
      <c r="G49" s="39">
        <f>E49*Input!$C$15</f>
        <v>5885.5947800268796</v>
      </c>
      <c r="H49" s="39">
        <f>E49*Input!$C$13</f>
        <v>464.65147999999999</v>
      </c>
      <c r="I49" s="39">
        <f t="shared" si="2"/>
        <v>6350.2462600268791</v>
      </c>
      <c r="J49" s="39">
        <f>I49*Input!$C$17</f>
        <v>1697.0588612683632</v>
      </c>
      <c r="K49" s="39">
        <f t="shared" si="0"/>
        <v>4653.1873987585159</v>
      </c>
      <c r="L49" s="40">
        <f>(Input!$C$21*'Master Table'!G49)+Input!$C$20</f>
        <v>6197.16</v>
      </c>
      <c r="M49" s="39">
        <f t="shared" si="3"/>
        <v>153.08626002687924</v>
      </c>
      <c r="N49" s="13">
        <f>VLOOKUP(A49,'Good Samaritan Hospital'!$G:$I,3,FALSE)</f>
        <v>18</v>
      </c>
      <c r="O49" s="77">
        <f t="shared" si="16"/>
        <v>2755.5526804838264</v>
      </c>
      <c r="P49" s="70">
        <f t="shared" si="14"/>
        <v>2.2999999999999998</v>
      </c>
      <c r="Q49" s="40">
        <f>(P49*Input!$C$21)+Input!$C$20</f>
        <v>5476.5599999999995</v>
      </c>
      <c r="R49" s="40">
        <f t="shared" si="4"/>
        <v>12970.800000000007</v>
      </c>
      <c r="S49" s="41">
        <f t="shared" si="5"/>
        <v>-0.11627906976744193</v>
      </c>
      <c r="T49" s="39">
        <f t="shared" si="6"/>
        <v>873.68626002687961</v>
      </c>
      <c r="U49" s="107">
        <f t="shared" si="7"/>
        <v>15726.352680483833</v>
      </c>
    </row>
    <row r="50" spans="1:21" ht="16" x14ac:dyDescent="0.2">
      <c r="A50" s="53" t="s">
        <v>216</v>
      </c>
      <c r="B50" s="22" t="s">
        <v>326</v>
      </c>
      <c r="C50" s="13" t="s">
        <v>271</v>
      </c>
      <c r="D50" s="23" t="s">
        <v>328</v>
      </c>
      <c r="E50" s="38">
        <v>0.88180000000000003</v>
      </c>
      <c r="F50" s="25">
        <v>3.2</v>
      </c>
      <c r="G50" s="39">
        <f>E50*Input!$C$15</f>
        <v>5403.3497938862074</v>
      </c>
      <c r="H50" s="39">
        <f>E50*Input!$C$13</f>
        <v>426.57956799999999</v>
      </c>
      <c r="I50" s="39">
        <f t="shared" si="2"/>
        <v>5829.9293618862075</v>
      </c>
      <c r="J50" s="39">
        <f>I50*Input!$C$17</f>
        <v>1558.0078124585557</v>
      </c>
      <c r="K50" s="39">
        <f t="shared" si="0"/>
        <v>4271.9215494276523</v>
      </c>
      <c r="L50" s="40">
        <f>(Input!$C$21*'Master Table'!G50)+Input!$C$20</f>
        <v>6773.64</v>
      </c>
      <c r="M50" s="39">
        <f t="shared" si="3"/>
        <v>-943.71063811379281</v>
      </c>
      <c r="N50" s="13">
        <f>VLOOKUP(A50,'Good Samaritan Hospital'!$G:$I,3,FALSE)</f>
        <v>18</v>
      </c>
      <c r="O50" s="77">
        <f t="shared" si="16"/>
        <v>-16986.791486048271</v>
      </c>
      <c r="P50" s="70">
        <f t="shared" si="14"/>
        <v>2.7</v>
      </c>
      <c r="Q50" s="40">
        <f>(P50*Input!$C$21)+Input!$C$20</f>
        <v>6053.0400000000009</v>
      </c>
      <c r="R50" s="40">
        <f t="shared" si="4"/>
        <v>12970.79999999999</v>
      </c>
      <c r="S50" s="41">
        <f t="shared" si="5"/>
        <v>-0.10638297872340417</v>
      </c>
      <c r="T50" s="39">
        <f t="shared" si="6"/>
        <v>-223.11063811379336</v>
      </c>
      <c r="U50" s="107">
        <f t="shared" si="7"/>
        <v>-4015.9914860482804</v>
      </c>
    </row>
    <row r="51" spans="1:21" ht="16" x14ac:dyDescent="0.2">
      <c r="A51" s="53" t="s">
        <v>242</v>
      </c>
      <c r="B51" s="22" t="s">
        <v>329</v>
      </c>
      <c r="C51" s="13" t="s">
        <v>266</v>
      </c>
      <c r="D51" s="23" t="s">
        <v>331</v>
      </c>
      <c r="E51" s="38">
        <v>1.5549999999999999</v>
      </c>
      <c r="F51" s="25">
        <v>1.3</v>
      </c>
      <c r="G51" s="39">
        <f>E51*Input!$C$15</f>
        <v>9528.4746308607992</v>
      </c>
      <c r="H51" s="39">
        <f>E51*Input!$C$13</f>
        <v>752.24680000000001</v>
      </c>
      <c r="I51" s="39">
        <f t="shared" si="2"/>
        <v>10280.7214308608</v>
      </c>
      <c r="J51" s="39">
        <f>I51*Input!$C$17</f>
        <v>2747.4508373475328</v>
      </c>
      <c r="K51" s="39">
        <f t="shared" si="0"/>
        <v>7533.2705935132672</v>
      </c>
      <c r="L51" s="40">
        <f>(Input!$C$21*'Master Table'!G51)+Input!$C$20</f>
        <v>4035.3600000000006</v>
      </c>
      <c r="M51" s="39">
        <f t="shared" si="3"/>
        <v>6245.3614308607994</v>
      </c>
      <c r="N51" s="13">
        <f>VLOOKUP(A51,'Good Samaritan Hospital'!$G:$I,3,FALSE)</f>
        <v>13</v>
      </c>
      <c r="O51" s="77">
        <f t="shared" si="16"/>
        <v>81189.698601190394</v>
      </c>
      <c r="P51" s="70">
        <f t="shared" si="14"/>
        <v>0.8</v>
      </c>
      <c r="Q51" s="40">
        <f>(P51*Input!$C$21)+Input!$C$20</f>
        <v>3314.76</v>
      </c>
      <c r="R51" s="40">
        <f t="shared" si="4"/>
        <v>9367.8000000000047</v>
      </c>
      <c r="S51" s="41">
        <f t="shared" si="5"/>
        <v>-0.17857142857142863</v>
      </c>
      <c r="T51" s="39">
        <f t="shared" si="6"/>
        <v>6965.9614308607997</v>
      </c>
      <c r="U51" s="107">
        <f t="shared" si="7"/>
        <v>90557.498601190397</v>
      </c>
    </row>
    <row r="52" spans="1:21" ht="16" x14ac:dyDescent="0.2">
      <c r="A52" s="53" t="s">
        <v>202</v>
      </c>
      <c r="B52" s="22" t="s">
        <v>329</v>
      </c>
      <c r="C52" s="13" t="s">
        <v>271</v>
      </c>
      <c r="D52" s="23" t="s">
        <v>332</v>
      </c>
      <c r="E52" s="38">
        <v>1.3956999999999999</v>
      </c>
      <c r="F52" s="25">
        <v>3.9</v>
      </c>
      <c r="G52" s="39">
        <f>E52*Input!$C$15</f>
        <v>8552.3421493841906</v>
      </c>
      <c r="H52" s="39">
        <f>E52*Input!$C$13</f>
        <v>675.18383199999994</v>
      </c>
      <c r="I52" s="39">
        <f t="shared" si="2"/>
        <v>9227.5259813841913</v>
      </c>
      <c r="J52" s="39">
        <f>I52*Input!$C$17</f>
        <v>2465.9917258430555</v>
      </c>
      <c r="K52" s="39">
        <f t="shared" si="0"/>
        <v>6761.5342555411353</v>
      </c>
      <c r="L52" s="40">
        <f>(Input!$C$21*'Master Table'!G52)+Input!$C$20</f>
        <v>7782.4800000000005</v>
      </c>
      <c r="M52" s="39">
        <f t="shared" si="3"/>
        <v>1445.0459813841908</v>
      </c>
      <c r="N52" s="13">
        <f>VLOOKUP(A52,'Good Samaritan Hospital'!$G:$I,3,FALSE)</f>
        <v>15</v>
      </c>
      <c r="O52" s="77">
        <f t="shared" si="16"/>
        <v>21675.689720762861</v>
      </c>
      <c r="P52" s="70">
        <f t="shared" si="14"/>
        <v>3.4</v>
      </c>
      <c r="Q52" s="40">
        <f>(P52*Input!$C$21)+Input!$C$20</f>
        <v>7061.88</v>
      </c>
      <c r="R52" s="40">
        <f t="shared" si="4"/>
        <v>10809.000000000005</v>
      </c>
      <c r="S52" s="41">
        <f t="shared" si="5"/>
        <v>-9.2592592592592629E-2</v>
      </c>
      <c r="T52" s="39">
        <f t="shared" si="6"/>
        <v>2165.6459813841911</v>
      </c>
      <c r="U52" s="107">
        <f t="shared" si="7"/>
        <v>32484.689720762868</v>
      </c>
    </row>
    <row r="53" spans="1:21" ht="16" x14ac:dyDescent="0.2">
      <c r="A53" s="53" t="s">
        <v>215</v>
      </c>
      <c r="B53" s="22" t="s">
        <v>329</v>
      </c>
      <c r="C53" s="13" t="s">
        <v>271</v>
      </c>
      <c r="D53" s="23" t="s">
        <v>333</v>
      </c>
      <c r="E53" s="38">
        <v>1.2653000000000001</v>
      </c>
      <c r="F53" s="25">
        <v>3.4</v>
      </c>
      <c r="G53" s="39">
        <f>E53*Input!$C$15</f>
        <v>7753.2983604039682</v>
      </c>
      <c r="H53" s="39">
        <f>E53*Input!$C$13</f>
        <v>612.10152800000003</v>
      </c>
      <c r="I53" s="39">
        <f t="shared" si="2"/>
        <v>8365.3998884039684</v>
      </c>
      <c r="J53" s="39">
        <f>I53*Input!$C$17</f>
        <v>2235.5945623767416</v>
      </c>
      <c r="K53" s="39">
        <f t="shared" si="0"/>
        <v>6129.8053260272263</v>
      </c>
      <c r="L53" s="40">
        <f>(Input!$C$21*'Master Table'!G53)+Input!$C$20</f>
        <v>7061.88</v>
      </c>
      <c r="M53" s="39">
        <f t="shared" si="3"/>
        <v>1303.5198884039683</v>
      </c>
      <c r="N53" s="13">
        <f>VLOOKUP(A53,'Good Samaritan Hospital'!$G:$I,3,FALSE)</f>
        <v>22</v>
      </c>
      <c r="O53" s="77">
        <f t="shared" ref="O53:O58" si="17">M53*N53</f>
        <v>28677.437544887303</v>
      </c>
      <c r="P53" s="70">
        <f t="shared" si="14"/>
        <v>2.9</v>
      </c>
      <c r="Q53" s="40">
        <f>(P53*Input!$C$21)+Input!$C$20</f>
        <v>6341.28</v>
      </c>
      <c r="R53" s="40">
        <f t="shared" si="4"/>
        <v>15853.200000000008</v>
      </c>
      <c r="S53" s="41">
        <f t="shared" si="5"/>
        <v>-0.10204081632653066</v>
      </c>
      <c r="T53" s="39">
        <f t="shared" si="6"/>
        <v>2024.1198884039686</v>
      </c>
      <c r="U53" s="107">
        <f t="shared" si="7"/>
        <v>44530.637544887308</v>
      </c>
    </row>
    <row r="54" spans="1:21" ht="16" x14ac:dyDescent="0.2">
      <c r="A54" s="53" t="s">
        <v>228</v>
      </c>
      <c r="B54" s="22" t="s">
        <v>329</v>
      </c>
      <c r="C54" s="13" t="s">
        <v>271</v>
      </c>
      <c r="D54" s="23" t="s">
        <v>334</v>
      </c>
      <c r="E54" s="38">
        <v>0.7702</v>
      </c>
      <c r="F54" s="25">
        <v>2.6</v>
      </c>
      <c r="G54" s="39">
        <f>E54*Input!$C$15</f>
        <v>4719.5055695749115</v>
      </c>
      <c r="H54" s="39">
        <f>E54*Input!$C$13</f>
        <v>372.59195199999999</v>
      </c>
      <c r="I54" s="39">
        <f t="shared" si="2"/>
        <v>5092.0975215749113</v>
      </c>
      <c r="J54" s="39">
        <f>I54*Input!$C$17</f>
        <v>1360.827417958244</v>
      </c>
      <c r="K54" s="39">
        <f t="shared" si="0"/>
        <v>3731.2701036166673</v>
      </c>
      <c r="L54" s="40">
        <f>(Input!$C$21*'Master Table'!G54)+Input!$C$20</f>
        <v>5908.92</v>
      </c>
      <c r="M54" s="39">
        <f t="shared" si="3"/>
        <v>-816.82247842508878</v>
      </c>
      <c r="N54" s="13">
        <f>VLOOKUP(A54,'Good Samaritan Hospital'!$G:$I,3,FALSE)</f>
        <v>22</v>
      </c>
      <c r="O54" s="77">
        <f t="shared" si="17"/>
        <v>-17970.094525351953</v>
      </c>
      <c r="P54" s="70">
        <f t="shared" si="14"/>
        <v>2.1</v>
      </c>
      <c r="Q54" s="40">
        <f>(P54*Input!$C$21)+Input!$C$20</f>
        <v>5188.3200000000006</v>
      </c>
      <c r="R54" s="40">
        <f t="shared" si="4"/>
        <v>15853.199999999988</v>
      </c>
      <c r="S54" s="41">
        <f t="shared" si="5"/>
        <v>-0.12195121951219502</v>
      </c>
      <c r="T54" s="39">
        <f t="shared" si="6"/>
        <v>-96.222478425089321</v>
      </c>
      <c r="U54" s="107">
        <f t="shared" si="7"/>
        <v>-2116.8945253519651</v>
      </c>
    </row>
    <row r="55" spans="1:21" ht="16" x14ac:dyDescent="0.2">
      <c r="A55" s="53" t="s">
        <v>196</v>
      </c>
      <c r="B55" s="22" t="s">
        <v>335</v>
      </c>
      <c r="C55" s="13" t="s">
        <v>271</v>
      </c>
      <c r="D55" s="23" t="s">
        <v>337</v>
      </c>
      <c r="E55" s="38">
        <v>1.4865999999999999</v>
      </c>
      <c r="F55" s="25">
        <v>4.3</v>
      </c>
      <c r="G55" s="39">
        <f>E55*Input!$C$15</f>
        <v>9109.3442998312948</v>
      </c>
      <c r="H55" s="39">
        <f>E55*Input!$C$13</f>
        <v>719.15761599999996</v>
      </c>
      <c r="I55" s="39">
        <f t="shared" si="2"/>
        <v>9828.5019158312953</v>
      </c>
      <c r="J55" s="39">
        <f>I55*Input!$C$17</f>
        <v>2626.5983374925031</v>
      </c>
      <c r="K55" s="39">
        <f t="shared" si="0"/>
        <v>7201.9035783387917</v>
      </c>
      <c r="L55" s="40">
        <f>(Input!$C$21*'Master Table'!G55)+Input!$C$20</f>
        <v>8358.9599999999991</v>
      </c>
      <c r="M55" s="39">
        <f t="shared" si="3"/>
        <v>1469.5419158312961</v>
      </c>
      <c r="N55" s="13">
        <f>VLOOKUP(A55,'Good Samaritan Hospital'!$G:$I,3,FALSE)</f>
        <v>37</v>
      </c>
      <c r="O55" s="77">
        <f t="shared" si="17"/>
        <v>54373.050885757955</v>
      </c>
      <c r="P55" s="70">
        <f t="shared" si="14"/>
        <v>3.8</v>
      </c>
      <c r="Q55" s="40">
        <f>(P55*Input!$C$21)+Input!$C$20</f>
        <v>7638.36</v>
      </c>
      <c r="R55" s="40">
        <f t="shared" si="4"/>
        <v>26662.199999999979</v>
      </c>
      <c r="S55" s="41">
        <f t="shared" si="5"/>
        <v>-8.6206896551724088E-2</v>
      </c>
      <c r="T55" s="39">
        <f t="shared" si="6"/>
        <v>2190.1419158312956</v>
      </c>
      <c r="U55" s="107">
        <f t="shared" si="7"/>
        <v>81035.250885757938</v>
      </c>
    </row>
    <row r="56" spans="1:21" ht="16" x14ac:dyDescent="0.2">
      <c r="A56" s="53" t="s">
        <v>217</v>
      </c>
      <c r="B56" s="22" t="s">
        <v>335</v>
      </c>
      <c r="C56" s="13" t="s">
        <v>271</v>
      </c>
      <c r="D56" s="23" t="s">
        <v>338</v>
      </c>
      <c r="E56" s="38">
        <v>0.89490000000000003</v>
      </c>
      <c r="F56" s="25">
        <v>3.1</v>
      </c>
      <c r="G56" s="39">
        <f>E56*Input!$C$15</f>
        <v>5483.621830969344</v>
      </c>
      <c r="H56" s="39">
        <f>E56*Input!$C$13</f>
        <v>432.91682400000002</v>
      </c>
      <c r="I56" s="39">
        <f t="shared" si="2"/>
        <v>5916.538654969344</v>
      </c>
      <c r="J56" s="39">
        <f>I56*Input!$C$17</f>
        <v>1581.1535397699724</v>
      </c>
      <c r="K56" s="39">
        <f t="shared" si="0"/>
        <v>4335.3851151993713</v>
      </c>
      <c r="L56" s="40">
        <f>(Input!$C$21*'Master Table'!G56)+Input!$C$20</f>
        <v>6629.52</v>
      </c>
      <c r="M56" s="39">
        <f t="shared" si="3"/>
        <v>-712.98134503065648</v>
      </c>
      <c r="N56" s="13">
        <f>VLOOKUP(A56,'Good Samaritan Hospital'!$G:$I,3,FALSE)</f>
        <v>36</v>
      </c>
      <c r="O56" s="77">
        <f t="shared" si="17"/>
        <v>-25667.328421103633</v>
      </c>
      <c r="P56" s="70">
        <f t="shared" si="14"/>
        <v>2.6</v>
      </c>
      <c r="Q56" s="40">
        <f>(P56*Input!$C$21)+Input!$C$20</f>
        <v>5908.92</v>
      </c>
      <c r="R56" s="40">
        <f t="shared" si="4"/>
        <v>25941.600000000013</v>
      </c>
      <c r="S56" s="41">
        <f t="shared" si="5"/>
        <v>-0.1086956521739131</v>
      </c>
      <c r="T56" s="39">
        <f t="shared" si="6"/>
        <v>7.6186549693438792</v>
      </c>
      <c r="U56" s="107">
        <f t="shared" si="7"/>
        <v>274.27157889637965</v>
      </c>
    </row>
    <row r="57" spans="1:21" ht="16" x14ac:dyDescent="0.2">
      <c r="A57" s="53" t="s">
        <v>203</v>
      </c>
      <c r="B57" s="22" t="s">
        <v>335</v>
      </c>
      <c r="C57" s="13" t="s">
        <v>271</v>
      </c>
      <c r="D57" s="23" t="s">
        <v>339</v>
      </c>
      <c r="E57" s="38">
        <v>1.1471</v>
      </c>
      <c r="F57" s="25">
        <v>3.8</v>
      </c>
      <c r="G57" s="39">
        <f>E57*Input!$C$15</f>
        <v>7029.0117357301751</v>
      </c>
      <c r="H57" s="39">
        <f>E57*Input!$C$13</f>
        <v>554.92109600000003</v>
      </c>
      <c r="I57" s="39">
        <f t="shared" si="2"/>
        <v>7583.9328317301752</v>
      </c>
      <c r="J57" s="39">
        <f>I57*Input!$C$17</f>
        <v>2026.7529617500672</v>
      </c>
      <c r="K57" s="39">
        <f t="shared" si="0"/>
        <v>5557.1798699801075</v>
      </c>
      <c r="L57" s="40">
        <f>(Input!$C$21*'Master Table'!G57)+Input!$C$20</f>
        <v>7638.36</v>
      </c>
      <c r="M57" s="39">
        <f t="shared" si="3"/>
        <v>-54.427168269824506</v>
      </c>
      <c r="N57" s="13">
        <f>VLOOKUP(A57,'Good Samaritan Hospital'!$G:$I,3,FALSE)</f>
        <v>36</v>
      </c>
      <c r="O57" s="77">
        <f t="shared" si="17"/>
        <v>-1959.3780577136822</v>
      </c>
      <c r="P57" s="70">
        <f t="shared" si="14"/>
        <v>3.3</v>
      </c>
      <c r="Q57" s="40">
        <f>(P57*Input!$C$21)+Input!$C$20</f>
        <v>6917.76</v>
      </c>
      <c r="R57" s="40">
        <f t="shared" si="4"/>
        <v>25941.59999999998</v>
      </c>
      <c r="S57" s="41">
        <f t="shared" si="5"/>
        <v>-9.4339622641509371E-2</v>
      </c>
      <c r="T57" s="39">
        <f t="shared" si="6"/>
        <v>666.17283173017495</v>
      </c>
      <c r="U57" s="107">
        <f t="shared" si="7"/>
        <v>23982.221942286298</v>
      </c>
    </row>
    <row r="58" spans="1:21" ht="16" x14ac:dyDescent="0.2">
      <c r="A58" s="53" t="s">
        <v>223</v>
      </c>
      <c r="B58" s="22" t="s">
        <v>335</v>
      </c>
      <c r="C58" s="13" t="s">
        <v>271</v>
      </c>
      <c r="D58" s="23" t="s">
        <v>340</v>
      </c>
      <c r="E58" s="38">
        <v>0.79559999999999997</v>
      </c>
      <c r="F58" s="25">
        <v>2.8</v>
      </c>
      <c r="G58" s="39">
        <f>E58*Input!$C$15</f>
        <v>4875.1475346063353</v>
      </c>
      <c r="H58" s="39">
        <f>E58*Input!$C$13</f>
        <v>384.879456</v>
      </c>
      <c r="I58" s="39">
        <f t="shared" si="2"/>
        <v>5260.0269906063349</v>
      </c>
      <c r="J58" s="39">
        <f>I58*Input!$C$17</f>
        <v>1405.7053930506088</v>
      </c>
      <c r="K58" s="39">
        <f t="shared" si="0"/>
        <v>3854.3215975557259</v>
      </c>
      <c r="L58" s="40">
        <f>(Input!$C$21*'Master Table'!G58)+Input!$C$20</f>
        <v>6197.16</v>
      </c>
      <c r="M58" s="39">
        <f t="shared" si="3"/>
        <v>-937.13300939366491</v>
      </c>
      <c r="N58" s="13">
        <f>VLOOKUP(A58,'Good Samaritan Hospital'!$G:$I,3,FALSE)</f>
        <v>22</v>
      </c>
      <c r="O58" s="77">
        <f t="shared" si="17"/>
        <v>-20616.926206660628</v>
      </c>
      <c r="P58" s="70">
        <f t="shared" si="14"/>
        <v>2.2999999999999998</v>
      </c>
      <c r="Q58" s="40">
        <f>(P58*Input!$C$21)+Input!$C$20</f>
        <v>5476.5599999999995</v>
      </c>
      <c r="R58" s="40">
        <f t="shared" si="4"/>
        <v>15853.200000000008</v>
      </c>
      <c r="S58" s="41">
        <f t="shared" si="5"/>
        <v>-0.11627906976744193</v>
      </c>
      <c r="T58" s="39">
        <f t="shared" si="6"/>
        <v>-216.53300939366454</v>
      </c>
      <c r="U58" s="107">
        <f t="shared" si="7"/>
        <v>-4763.7262066606199</v>
      </c>
    </row>
    <row r="59" spans="1:21" ht="16" x14ac:dyDescent="0.2">
      <c r="A59" s="53" t="s">
        <v>189</v>
      </c>
      <c r="B59" s="22" t="s">
        <v>335</v>
      </c>
      <c r="C59" s="13" t="s">
        <v>271</v>
      </c>
      <c r="D59" s="23" t="s">
        <v>341</v>
      </c>
      <c r="E59" s="38">
        <v>1.6025</v>
      </c>
      <c r="F59" s="25">
        <v>4.8</v>
      </c>
      <c r="G59" s="39">
        <f>E59*Input!$C$15</f>
        <v>9819.537360742399</v>
      </c>
      <c r="H59" s="39">
        <f>E59*Input!$C$13</f>
        <v>775.22540000000004</v>
      </c>
      <c r="I59" s="39">
        <f t="shared" si="2"/>
        <v>10594.762760742398</v>
      </c>
      <c r="J59" s="39">
        <f>I59*Input!$C$17</f>
        <v>2831.3761844690807</v>
      </c>
      <c r="K59" s="39">
        <f t="shared" si="0"/>
        <v>7763.3865762733176</v>
      </c>
      <c r="L59" s="40">
        <f>(Input!$C$21*'Master Table'!G59)+Input!$C$20</f>
        <v>9079.5600000000013</v>
      </c>
      <c r="M59" s="39">
        <f t="shared" si="3"/>
        <v>1515.202760742397</v>
      </c>
      <c r="N59" s="13">
        <f>VLOOKUP(A59,'Good Samaritan Hospital'!$G:$I,3,FALSE)</f>
        <v>16</v>
      </c>
      <c r="O59" s="77">
        <f>M59*N59</f>
        <v>24243.244171878352</v>
      </c>
      <c r="P59" s="70">
        <f t="shared" si="14"/>
        <v>4.3</v>
      </c>
      <c r="Q59" s="40">
        <f>(P59*Input!$C$21)+Input!$C$20</f>
        <v>8358.9599999999991</v>
      </c>
      <c r="R59" s="40">
        <f t="shared" si="4"/>
        <v>11529.600000000035</v>
      </c>
      <c r="S59" s="41">
        <f t="shared" si="5"/>
        <v>-7.9365079365079597E-2</v>
      </c>
      <c r="T59" s="39">
        <f t="shared" si="6"/>
        <v>2235.8027607423992</v>
      </c>
      <c r="U59" s="107">
        <f t="shared" si="7"/>
        <v>35772.844171878387</v>
      </c>
    </row>
    <row r="60" spans="1:21" ht="16" x14ac:dyDescent="0.2">
      <c r="A60" s="53" t="s">
        <v>225</v>
      </c>
      <c r="B60" s="22" t="s">
        <v>342</v>
      </c>
      <c r="C60" s="13" t="s">
        <v>271</v>
      </c>
      <c r="D60" s="23" t="s">
        <v>344</v>
      </c>
      <c r="E60" s="38">
        <v>0.89800000000000002</v>
      </c>
      <c r="F60" s="25">
        <v>2.7</v>
      </c>
      <c r="G60" s="39">
        <f>E60*Input!$C$15</f>
        <v>5502.6175038668798</v>
      </c>
      <c r="H60" s="39">
        <f>E60*Input!$C$13</f>
        <v>434.41647999999998</v>
      </c>
      <c r="I60" s="39">
        <f t="shared" si="2"/>
        <v>5937.0339838668797</v>
      </c>
      <c r="J60" s="39">
        <f>I60*Input!$C$17</f>
        <v>1586.6307729505365</v>
      </c>
      <c r="K60" s="39">
        <f t="shared" si="0"/>
        <v>4350.4032109163436</v>
      </c>
      <c r="L60" s="40">
        <f>(Input!$C$21*'Master Table'!G60)+Input!$C$20</f>
        <v>6053.0400000000009</v>
      </c>
      <c r="M60" s="39">
        <f t="shared" si="3"/>
        <v>-116.00601613312119</v>
      </c>
      <c r="N60" s="13">
        <f>VLOOKUP(A60,'Good Samaritan Hospital'!$G:$I,3,FALSE)</f>
        <v>13</v>
      </c>
      <c r="O60" s="77">
        <f>M60*N60</f>
        <v>-1508.0782097305755</v>
      </c>
      <c r="P60" s="70">
        <f t="shared" si="14"/>
        <v>2.2000000000000002</v>
      </c>
      <c r="Q60" s="40">
        <f>(P60*Input!$C$21)+Input!$C$20</f>
        <v>5332.4400000000005</v>
      </c>
      <c r="R60" s="40">
        <f t="shared" si="4"/>
        <v>9367.8000000000047</v>
      </c>
      <c r="S60" s="41">
        <f t="shared" si="5"/>
        <v>-0.1190476190476191</v>
      </c>
      <c r="T60" s="39">
        <f t="shared" si="6"/>
        <v>604.59398386687917</v>
      </c>
      <c r="U60" s="107">
        <f t="shared" si="7"/>
        <v>7859.7217902694292</v>
      </c>
    </row>
    <row r="61" spans="1:21" ht="16" x14ac:dyDescent="0.2">
      <c r="A61" s="53" t="s">
        <v>208</v>
      </c>
      <c r="B61" s="22" t="s">
        <v>345</v>
      </c>
      <c r="C61" s="13" t="s">
        <v>271</v>
      </c>
      <c r="D61" s="23" t="s">
        <v>347</v>
      </c>
      <c r="E61" s="38">
        <v>1.2181</v>
      </c>
      <c r="F61" s="25">
        <v>3.6</v>
      </c>
      <c r="G61" s="39">
        <f>E61*Input!$C$15</f>
        <v>7464.0739214479354</v>
      </c>
      <c r="H61" s="39">
        <f>E61*Input!$C$13</f>
        <v>589.268056</v>
      </c>
      <c r="I61" s="39">
        <f t="shared" si="2"/>
        <v>8053.3419774479353</v>
      </c>
      <c r="J61" s="39">
        <f>I61*Input!$C$17</f>
        <v>2152.1992700791188</v>
      </c>
      <c r="K61" s="39">
        <f t="shared" si="0"/>
        <v>5901.1427073688164</v>
      </c>
      <c r="L61" s="40">
        <f>(Input!$C$21*'Master Table'!G61)+Input!$C$20</f>
        <v>7350.1200000000008</v>
      </c>
      <c r="M61" s="39">
        <f t="shared" si="3"/>
        <v>703.22197744793448</v>
      </c>
      <c r="N61" s="13">
        <f>VLOOKUP(A61,'Good Samaritan Hospital'!$G:$I,3,FALSE)</f>
        <v>11</v>
      </c>
      <c r="O61" s="77">
        <f>M61*N61</f>
        <v>7735.4417519272793</v>
      </c>
      <c r="P61" s="70">
        <f t="shared" si="14"/>
        <v>3.1</v>
      </c>
      <c r="Q61" s="40">
        <f>(P61*Input!$C$21)+Input!$C$20</f>
        <v>6629.52</v>
      </c>
      <c r="R61" s="40">
        <f t="shared" si="4"/>
        <v>7926.600000000004</v>
      </c>
      <c r="S61" s="41">
        <f t="shared" si="5"/>
        <v>-9.803921568627455E-2</v>
      </c>
      <c r="T61" s="39">
        <f t="shared" si="6"/>
        <v>1423.8219774479348</v>
      </c>
      <c r="U61" s="107">
        <f t="shared" si="7"/>
        <v>15662.041751927283</v>
      </c>
    </row>
    <row r="62" spans="1:21" ht="16" x14ac:dyDescent="0.2">
      <c r="A62" s="53" t="s">
        <v>179</v>
      </c>
      <c r="B62" s="22" t="s">
        <v>348</v>
      </c>
      <c r="C62" s="13" t="s">
        <v>266</v>
      </c>
      <c r="D62" s="23" t="s">
        <v>350</v>
      </c>
      <c r="E62" s="38">
        <v>4.9009999999999998</v>
      </c>
      <c r="F62" s="25">
        <v>9.6</v>
      </c>
      <c r="G62" s="39">
        <f>E62*Input!$C$15</f>
        <v>30031.546087362556</v>
      </c>
      <c r="H62" s="39">
        <f>E62*Input!$C$13</f>
        <v>2370.9077600000001</v>
      </c>
      <c r="I62" s="39">
        <f t="shared" si="2"/>
        <v>32402.453847362558</v>
      </c>
      <c r="J62" s="39">
        <f>I62*Input!$C$17</f>
        <v>8659.3289735307117</v>
      </c>
      <c r="K62" s="39">
        <f t="shared" si="0"/>
        <v>23743.124873831846</v>
      </c>
      <c r="L62" s="40">
        <f>(Input!$C$21*'Master Table'!G62)+Input!$C$20</f>
        <v>15997.32</v>
      </c>
      <c r="M62" s="39">
        <f t="shared" si="3"/>
        <v>16405.133847362558</v>
      </c>
      <c r="N62" s="13">
        <f>VLOOKUP(A62,'Good Samaritan Hospital'!$G:$I,3,FALSE)</f>
        <v>33</v>
      </c>
      <c r="O62" s="77">
        <f>M62*N62</f>
        <v>541369.41696296446</v>
      </c>
      <c r="P62" s="70">
        <f t="shared" si="14"/>
        <v>9.1</v>
      </c>
      <c r="Q62" s="40">
        <f>(P62*Input!$C$21)+Input!$C$20</f>
        <v>15276.720000000001</v>
      </c>
      <c r="R62" s="40">
        <f t="shared" si="4"/>
        <v>23779.799999999952</v>
      </c>
      <c r="S62" s="41">
        <f t="shared" si="5"/>
        <v>-4.5045045045044953E-2</v>
      </c>
      <c r="T62" s="39">
        <f t="shared" si="6"/>
        <v>17125.733847362557</v>
      </c>
      <c r="U62" s="107">
        <f t="shared" si="7"/>
        <v>565149.21696296439</v>
      </c>
    </row>
    <row r="63" spans="1:21" ht="16" x14ac:dyDescent="0.2">
      <c r="A63" s="53" t="s">
        <v>187</v>
      </c>
      <c r="B63" s="22" t="s">
        <v>348</v>
      </c>
      <c r="C63" s="13" t="s">
        <v>271</v>
      </c>
      <c r="D63" s="23" t="s">
        <v>351</v>
      </c>
      <c r="E63" s="38">
        <v>1.9572000000000001</v>
      </c>
      <c r="F63" s="25">
        <v>5</v>
      </c>
      <c r="G63" s="39">
        <f>E63*Input!$C$15</f>
        <v>11993.009998405632</v>
      </c>
      <c r="H63" s="39">
        <f>E63*Input!$C$13</f>
        <v>946.81507199999999</v>
      </c>
      <c r="I63" s="39">
        <f t="shared" si="2"/>
        <v>12939.825070405632</v>
      </c>
      <c r="J63" s="39">
        <f>I63*Input!$C$17</f>
        <v>3458.0776712904126</v>
      </c>
      <c r="K63" s="39">
        <f t="shared" si="0"/>
        <v>9481.7473991152183</v>
      </c>
      <c r="L63" s="40">
        <f>(Input!$C$21*'Master Table'!G63)+Input!$C$20</f>
        <v>9367.7999999999993</v>
      </c>
      <c r="M63" s="39">
        <f t="shared" si="3"/>
        <v>3572.0250704056325</v>
      </c>
      <c r="N63" s="13">
        <f>VLOOKUP(A63,'Good Samaritan Hospital'!$G:$I,3,FALSE)</f>
        <v>215</v>
      </c>
      <c r="O63" s="77">
        <f t="shared" ref="O63:O64" si="18">M63*N63</f>
        <v>767985.39013721095</v>
      </c>
      <c r="P63" s="70">
        <f t="shared" si="14"/>
        <v>4.5</v>
      </c>
      <c r="Q63" s="40">
        <f>(P63*Input!$C$21)+Input!$C$20</f>
        <v>8647.2000000000007</v>
      </c>
      <c r="R63" s="40">
        <f t="shared" si="4"/>
        <v>154928.99999999968</v>
      </c>
      <c r="S63" s="41">
        <f t="shared" si="5"/>
        <v>-7.6923076923076775E-2</v>
      </c>
      <c r="T63" s="39">
        <f t="shared" si="6"/>
        <v>4292.625070405631</v>
      </c>
      <c r="U63" s="107">
        <f t="shared" si="7"/>
        <v>922914.39013721072</v>
      </c>
    </row>
    <row r="64" spans="1:21" ht="16" x14ac:dyDescent="0.2">
      <c r="A64" s="53" t="s">
        <v>210</v>
      </c>
      <c r="B64" s="22" t="s">
        <v>348</v>
      </c>
      <c r="C64" s="13" t="s">
        <v>271</v>
      </c>
      <c r="D64" s="23" t="s">
        <v>352</v>
      </c>
      <c r="E64" s="38">
        <v>1.028</v>
      </c>
      <c r="F64" s="25">
        <v>3.5</v>
      </c>
      <c r="G64" s="39">
        <f>E64*Input!$C$15</f>
        <v>6299.2102382796793</v>
      </c>
      <c r="H64" s="39">
        <f>E64*Input!$C$13</f>
        <v>497.30527999999998</v>
      </c>
      <c r="I64" s="39">
        <f t="shared" si="2"/>
        <v>6796.5155182796789</v>
      </c>
      <c r="J64" s="39">
        <f>I64*Input!$C$17</f>
        <v>1816.3211966516162</v>
      </c>
      <c r="K64" s="39">
        <f t="shared" si="0"/>
        <v>4980.1943216280624</v>
      </c>
      <c r="L64" s="40">
        <f>(Input!$C$21*'Master Table'!G64)+Input!$C$20</f>
        <v>7206</v>
      </c>
      <c r="M64" s="39">
        <f t="shared" si="3"/>
        <v>-409.48448172032113</v>
      </c>
      <c r="N64" s="13">
        <f>VLOOKUP(A64,'Good Samaritan Hospital'!$G:$I,3,FALSE)</f>
        <v>42</v>
      </c>
      <c r="O64" s="77">
        <f t="shared" si="18"/>
        <v>-17198.348232253487</v>
      </c>
      <c r="P64" s="70">
        <f t="shared" si="14"/>
        <v>3</v>
      </c>
      <c r="Q64" s="40">
        <f>(P64*Input!$C$21)+Input!$C$20</f>
        <v>6485.4000000000005</v>
      </c>
      <c r="R64" s="40">
        <f t="shared" si="4"/>
        <v>30265.199999999975</v>
      </c>
      <c r="S64" s="41">
        <f t="shared" si="5"/>
        <v>-9.9999999999999922E-2</v>
      </c>
      <c r="T64" s="39">
        <f t="shared" si="6"/>
        <v>311.11551827967833</v>
      </c>
      <c r="U64" s="107">
        <f t="shared" si="7"/>
        <v>13066.85176774649</v>
      </c>
    </row>
    <row r="65" spans="1:21" ht="16" x14ac:dyDescent="0.2">
      <c r="A65" s="53" t="s">
        <v>209</v>
      </c>
      <c r="B65" s="22" t="s">
        <v>353</v>
      </c>
      <c r="C65" s="13" t="s">
        <v>271</v>
      </c>
      <c r="D65" s="23" t="s">
        <v>355</v>
      </c>
      <c r="E65" s="38">
        <v>1.5225</v>
      </c>
      <c r="F65" s="25">
        <v>3.6</v>
      </c>
      <c r="G65" s="39">
        <f>E65*Input!$C$15</f>
        <v>9329.3264472575993</v>
      </c>
      <c r="H65" s="39">
        <f>E65*Input!$C$13</f>
        <v>736.52459999999996</v>
      </c>
      <c r="I65" s="39">
        <f t="shared" si="2"/>
        <v>10065.8510472576</v>
      </c>
      <c r="J65" s="39">
        <f>I65*Input!$C$17</f>
        <v>2690.0282314222627</v>
      </c>
      <c r="K65" s="39">
        <f t="shared" si="0"/>
        <v>7375.8228158353377</v>
      </c>
      <c r="L65" s="40">
        <f>(Input!$C$21*'Master Table'!G65)+Input!$C$20</f>
        <v>7350.1200000000008</v>
      </c>
      <c r="M65" s="39">
        <f t="shared" si="3"/>
        <v>2715.7310472575991</v>
      </c>
      <c r="N65" s="13">
        <f>VLOOKUP(A65,'Good Samaritan Hospital'!$G:$I,3,FALSE)</f>
        <v>12</v>
      </c>
      <c r="O65" s="77">
        <f>M65*N65</f>
        <v>32588.77256709119</v>
      </c>
      <c r="P65" s="70">
        <f t="shared" si="14"/>
        <v>3.1</v>
      </c>
      <c r="Q65" s="40">
        <f>(P65*Input!$C$21)+Input!$C$20</f>
        <v>6629.52</v>
      </c>
      <c r="R65" s="40">
        <f t="shared" si="4"/>
        <v>8647.2000000000044</v>
      </c>
      <c r="S65" s="41">
        <f t="shared" si="5"/>
        <v>-9.803921568627455E-2</v>
      </c>
      <c r="T65" s="39">
        <f t="shared" si="6"/>
        <v>3436.3310472575995</v>
      </c>
      <c r="U65" s="107">
        <f t="shared" si="7"/>
        <v>41235.972567091194</v>
      </c>
    </row>
    <row r="66" spans="1:21" ht="16" x14ac:dyDescent="0.2">
      <c r="A66" s="53" t="s">
        <v>229</v>
      </c>
      <c r="B66" s="22" t="s">
        <v>356</v>
      </c>
      <c r="C66" s="13" t="s">
        <v>271</v>
      </c>
      <c r="D66" s="23" t="s">
        <v>358</v>
      </c>
      <c r="E66" s="38">
        <v>0.77759999999999996</v>
      </c>
      <c r="F66" s="25">
        <v>2.5</v>
      </c>
      <c r="G66" s="39">
        <f>E66*Input!$C$15</f>
        <v>4764.8500790722555</v>
      </c>
      <c r="H66" s="39">
        <f>E66*Input!$C$13</f>
        <v>376.17177599999997</v>
      </c>
      <c r="I66" s="39">
        <f t="shared" si="2"/>
        <v>5141.0218550722557</v>
      </c>
      <c r="J66" s="39">
        <f>I66*Input!$C$17</f>
        <v>1373.9021036150748</v>
      </c>
      <c r="K66" s="39">
        <f t="shared" si="0"/>
        <v>3767.1197514571809</v>
      </c>
      <c r="L66" s="40">
        <f>(Input!$C$21*'Master Table'!G66)+Input!$C$20</f>
        <v>5764.8</v>
      </c>
      <c r="M66" s="39">
        <f t="shared" si="3"/>
        <v>-623.77814492774451</v>
      </c>
      <c r="N66" s="13">
        <f>VLOOKUP(A66,'Good Samaritan Hospital'!$G:$I,3,FALSE)</f>
        <v>18</v>
      </c>
      <c r="O66" s="77">
        <f>M66*N66</f>
        <v>-11228.006608699401</v>
      </c>
      <c r="P66" s="70">
        <f t="shared" si="14"/>
        <v>2</v>
      </c>
      <c r="Q66" s="40">
        <f>(P66*Input!$C$21)+Input!$C$20</f>
        <v>5044.2000000000007</v>
      </c>
      <c r="R66" s="40">
        <f t="shared" si="4"/>
        <v>12970.79999999999</v>
      </c>
      <c r="S66" s="41">
        <f t="shared" si="5"/>
        <v>-0.1249999999999999</v>
      </c>
      <c r="T66" s="39">
        <f t="shared" si="6"/>
        <v>96.821855072254948</v>
      </c>
      <c r="U66" s="107">
        <f t="shared" si="7"/>
        <v>1742.7933913005891</v>
      </c>
    </row>
    <row r="67" spans="1:21" ht="16" x14ac:dyDescent="0.2">
      <c r="A67" s="53" t="s">
        <v>180</v>
      </c>
      <c r="B67" s="42" t="s">
        <v>378</v>
      </c>
      <c r="C67" s="13" t="s">
        <v>266</v>
      </c>
      <c r="D67" s="23" t="s">
        <v>361</v>
      </c>
      <c r="E67" s="24">
        <v>4.5804</v>
      </c>
      <c r="F67" s="25">
        <v>8.5</v>
      </c>
      <c r="G67" s="39">
        <f>E67*Input!$C$15</f>
        <v>28067.025851572223</v>
      </c>
      <c r="H67" s="39">
        <f>E67*Input!$C$13</f>
        <v>2215.814304</v>
      </c>
      <c r="I67" s="39">
        <f t="shared" ref="I67" si="19">G67+H67</f>
        <v>30282.840155572223</v>
      </c>
      <c r="J67" s="39">
        <f>I67*Input!$C$17</f>
        <v>8092.8770516955874</v>
      </c>
      <c r="K67" s="39">
        <f t="shared" ref="K67" si="20">I67-J67</f>
        <v>22189.963103876635</v>
      </c>
      <c r="L67" s="40">
        <f>(Input!$C$21*'Master Table'!G67)+Input!$C$20</f>
        <v>14412</v>
      </c>
      <c r="M67" s="39">
        <f t="shared" si="3"/>
        <v>15870.840155572223</v>
      </c>
      <c r="N67" s="13">
        <f>VLOOKUP(A67,'Good Samaritan Hospital'!$G:$I,3,FALSE)</f>
        <v>11</v>
      </c>
      <c r="O67" s="77">
        <f>M67*N67</f>
        <v>174579.24171129445</v>
      </c>
      <c r="P67" s="70">
        <f t="shared" si="14"/>
        <v>8</v>
      </c>
      <c r="Q67" s="40">
        <f>(P67*Input!$C$21)+Input!$C$20</f>
        <v>13691.400000000001</v>
      </c>
      <c r="R67" s="40">
        <f t="shared" si="4"/>
        <v>7926.599999999984</v>
      </c>
      <c r="S67" s="41">
        <f t="shared" si="5"/>
        <v>-4.9999999999999899E-2</v>
      </c>
      <c r="T67" s="39">
        <f t="shared" si="6"/>
        <v>16591.440155572222</v>
      </c>
      <c r="U67" s="107">
        <f t="shared" si="7"/>
        <v>182505.84171129443</v>
      </c>
    </row>
    <row r="68" spans="1:21" ht="17" thickBot="1" x14ac:dyDescent="0.25">
      <c r="A68" s="56"/>
      <c r="B68" s="78"/>
      <c r="C68" s="79"/>
      <c r="D68" s="80"/>
      <c r="E68" s="81"/>
      <c r="F68" s="80"/>
      <c r="G68" s="79"/>
      <c r="H68" s="79"/>
      <c r="I68" s="79"/>
      <c r="J68" s="79"/>
      <c r="K68" s="79"/>
      <c r="L68" s="72">
        <f>SUM(L3:L67)</f>
        <v>495772.79999999987</v>
      </c>
      <c r="M68" s="74"/>
      <c r="N68" s="74"/>
      <c r="O68" s="82">
        <f>SUM(O3:O67)</f>
        <v>9494691.4120958745</v>
      </c>
      <c r="P68" s="71"/>
      <c r="Q68" s="72">
        <f>SUM(Q3:Q67)</f>
        <v>448933.80000000005</v>
      </c>
      <c r="R68" s="72">
        <f>SUM(R3:R67)</f>
        <v>1318698</v>
      </c>
      <c r="S68" s="73"/>
      <c r="T68" s="74"/>
      <c r="U68" s="82">
        <f>SUM(U3:U67)</f>
        <v>10813389.412095875</v>
      </c>
    </row>
    <row r="70" spans="1:21" x14ac:dyDescent="0.2">
      <c r="R70" s="7"/>
    </row>
    <row r="71" spans="1:21" x14ac:dyDescent="0.2">
      <c r="R71" s="7"/>
    </row>
  </sheetData>
  <autoFilter ref="B2:U68" xr:uid="{94E5A64C-59FE-344A-85A3-80B620915692}"/>
  <mergeCells count="2">
    <mergeCell ref="P1:U1"/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zoomScale="150" zoomScaleNormal="150" workbookViewId="0">
      <selection activeCell="F15" sqref="F15"/>
    </sheetView>
  </sheetViews>
  <sheetFormatPr baseColWidth="10" defaultColWidth="8.83203125" defaultRowHeight="15" x14ac:dyDescent="0.2"/>
  <cols>
    <col min="1" max="1" width="13.83203125" bestFit="1" customWidth="1"/>
    <col min="2" max="2" width="65.5" customWidth="1"/>
    <col min="3" max="3" width="23.1640625" customWidth="1"/>
    <col min="4" max="4" width="11.83203125" customWidth="1"/>
    <col min="5" max="5" width="30.1640625" customWidth="1"/>
    <col min="6" max="6" width="48" customWidth="1"/>
    <col min="7" max="7" width="24.5" customWidth="1"/>
    <col min="8" max="8" width="26.1640625" customWidth="1"/>
    <col min="9" max="9" width="48.83203125" customWidth="1"/>
    <col min="10" max="10" width="12.5" customWidth="1"/>
    <col min="11" max="11" width="21.83203125" customWidth="1"/>
    <col min="12" max="12" width="29" customWidth="1"/>
    <col min="13" max="13" width="18.6640625" customWidth="1"/>
    <col min="14" max="14" width="11" customWidth="1"/>
    <col min="15" max="15" width="23.1640625" bestFit="1" customWidth="1"/>
    <col min="16" max="16" width="30.1640625" customWidth="1"/>
  </cols>
  <sheetData>
    <row r="1" spans="1:16" s="2" customFormat="1" ht="19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s="1" customFormat="1" ht="16" x14ac:dyDescent="0.2">
      <c r="A2" s="13" t="s">
        <v>16</v>
      </c>
      <c r="B2" s="13" t="s">
        <v>17</v>
      </c>
      <c r="C2" s="13" t="s">
        <v>18</v>
      </c>
      <c r="D2" s="13" t="s">
        <v>19</v>
      </c>
      <c r="E2" s="14">
        <v>1741928</v>
      </c>
      <c r="F2" s="14">
        <v>5319204</v>
      </c>
      <c r="G2" s="14">
        <v>29585933</v>
      </c>
      <c r="H2" s="14">
        <v>172046507</v>
      </c>
      <c r="I2" s="14">
        <v>201632440</v>
      </c>
      <c r="J2" s="14">
        <v>7189024</v>
      </c>
      <c r="K2" s="19">
        <v>0.22828100000000001</v>
      </c>
      <c r="L2" s="14">
        <v>4628233</v>
      </c>
      <c r="M2" s="14">
        <v>35944776</v>
      </c>
      <c r="N2" s="13" t="s">
        <v>16</v>
      </c>
      <c r="O2" s="18">
        <v>0.93459999999999999</v>
      </c>
      <c r="P2" s="18">
        <v>0.95552799999999993</v>
      </c>
    </row>
    <row r="3" spans="1:16" s="1" customFormat="1" ht="16" x14ac:dyDescent="0.2">
      <c r="A3" s="13" t="s">
        <v>20</v>
      </c>
      <c r="B3" s="13" t="s">
        <v>21</v>
      </c>
      <c r="C3" s="13" t="s">
        <v>22</v>
      </c>
      <c r="D3" s="13" t="s">
        <v>19</v>
      </c>
      <c r="E3" s="14">
        <v>1025756</v>
      </c>
      <c r="F3" s="14">
        <v>4491088</v>
      </c>
      <c r="G3" s="14">
        <v>172313981</v>
      </c>
      <c r="H3" s="14">
        <v>678936357</v>
      </c>
      <c r="I3" s="14">
        <v>851250338</v>
      </c>
      <c r="J3" s="14">
        <v>7631624</v>
      </c>
      <c r="K3" s="19">
        <v>0.20652000000000001</v>
      </c>
      <c r="L3" s="14">
        <v>6048085</v>
      </c>
      <c r="M3" s="14">
        <v>46065353</v>
      </c>
      <c r="N3" s="13" t="s">
        <v>20</v>
      </c>
      <c r="O3" s="18">
        <v>0.83599999999999997</v>
      </c>
      <c r="P3" s="18">
        <v>0.88847999999999994</v>
      </c>
    </row>
    <row r="4" spans="1:16" s="1" customFormat="1" ht="16" x14ac:dyDescent="0.2">
      <c r="A4" s="13" t="s">
        <v>23</v>
      </c>
      <c r="B4" s="13" t="s">
        <v>24</v>
      </c>
      <c r="C4" s="13" t="s">
        <v>25</v>
      </c>
      <c r="D4" s="13" t="s">
        <v>19</v>
      </c>
      <c r="E4" s="14">
        <v>4471898</v>
      </c>
      <c r="F4" s="14">
        <v>10932284</v>
      </c>
      <c r="G4" s="14">
        <v>77556405</v>
      </c>
      <c r="H4" s="14">
        <v>352261915</v>
      </c>
      <c r="I4" s="14">
        <v>429818320</v>
      </c>
      <c r="J4" s="14">
        <v>9290339</v>
      </c>
      <c r="K4" s="19">
        <v>0.31104999999999999</v>
      </c>
      <c r="L4" s="14">
        <v>7711324</v>
      </c>
      <c r="M4" s="14">
        <v>51379453</v>
      </c>
      <c r="N4" s="13" t="s">
        <v>23</v>
      </c>
      <c r="O4" s="18">
        <v>0.93459999999999999</v>
      </c>
      <c r="P4" s="18">
        <v>0.95552799999999993</v>
      </c>
    </row>
    <row r="5" spans="1:16" s="1" customFormat="1" ht="16" x14ac:dyDescent="0.2">
      <c r="A5" s="13" t="s">
        <v>26</v>
      </c>
      <c r="B5" s="13" t="s">
        <v>27</v>
      </c>
      <c r="C5" s="13" t="s">
        <v>28</v>
      </c>
      <c r="D5" s="13" t="s">
        <v>19</v>
      </c>
      <c r="E5" s="14">
        <v>419156</v>
      </c>
      <c r="F5" s="14">
        <v>683481</v>
      </c>
      <c r="G5" s="14">
        <v>122874994</v>
      </c>
      <c r="H5" s="14">
        <v>107415737</v>
      </c>
      <c r="I5" s="14">
        <v>230290731</v>
      </c>
      <c r="J5" s="14">
        <v>24498430</v>
      </c>
      <c r="K5" s="19">
        <v>0.15847800000000001</v>
      </c>
      <c r="L5" s="14">
        <v>2504429</v>
      </c>
      <c r="M5" s="14">
        <v>13684586</v>
      </c>
      <c r="N5" s="13" t="s">
        <v>26</v>
      </c>
      <c r="O5" s="18">
        <v>0.83709999999999996</v>
      </c>
      <c r="P5" s="18">
        <v>0.88922799999999991</v>
      </c>
    </row>
    <row r="6" spans="1:16" s="1" customFormat="1" ht="16" x14ac:dyDescent="0.2">
      <c r="A6" s="13" t="s">
        <v>29</v>
      </c>
      <c r="B6" s="13" t="s">
        <v>30</v>
      </c>
      <c r="C6" s="13" t="s">
        <v>31</v>
      </c>
      <c r="D6" s="13" t="s">
        <v>19</v>
      </c>
      <c r="E6" s="14">
        <v>4447134</v>
      </c>
      <c r="F6" s="14">
        <v>10292294</v>
      </c>
      <c r="G6" s="14">
        <v>270076329</v>
      </c>
      <c r="H6" s="14">
        <v>398838393</v>
      </c>
      <c r="I6" s="14">
        <v>668914722</v>
      </c>
      <c r="J6" s="14">
        <v>37423431</v>
      </c>
      <c r="K6" s="19">
        <v>0.21825800000000001</v>
      </c>
      <c r="L6" s="14">
        <v>9212941</v>
      </c>
      <c r="M6" s="14">
        <v>63874628</v>
      </c>
      <c r="N6" s="13" t="s">
        <v>29</v>
      </c>
      <c r="O6" s="18">
        <v>0.87860000000000005</v>
      </c>
      <c r="P6" s="18">
        <v>0.91744800000000004</v>
      </c>
    </row>
    <row r="7" spans="1:16" s="1" customFormat="1" ht="16" x14ac:dyDescent="0.2">
      <c r="A7" s="13" t="s">
        <v>32</v>
      </c>
      <c r="B7" s="13" t="s">
        <v>33</v>
      </c>
      <c r="C7" s="13" t="s">
        <v>34</v>
      </c>
      <c r="D7" s="13" t="s">
        <v>19</v>
      </c>
      <c r="E7" s="14">
        <v>365939</v>
      </c>
      <c r="F7" s="14">
        <v>2666009</v>
      </c>
      <c r="G7" s="14">
        <v>15143058</v>
      </c>
      <c r="H7" s="14">
        <v>204368197</v>
      </c>
      <c r="I7" s="14">
        <v>219511255</v>
      </c>
      <c r="J7" s="14">
        <v>296029</v>
      </c>
      <c r="K7" s="19">
        <v>0.21737799999999999</v>
      </c>
      <c r="L7" s="14">
        <v>2244566</v>
      </c>
      <c r="M7" s="14">
        <v>20906605</v>
      </c>
      <c r="N7" s="13" t="s">
        <v>32</v>
      </c>
      <c r="O7" s="18">
        <v>0.96419999999999995</v>
      </c>
      <c r="P7" s="18">
        <v>0.97565599999999997</v>
      </c>
    </row>
    <row r="8" spans="1:16" s="1" customFormat="1" ht="16" x14ac:dyDescent="0.2">
      <c r="A8" s="13" t="s">
        <v>35</v>
      </c>
      <c r="B8" s="13" t="s">
        <v>36</v>
      </c>
      <c r="C8" s="13" t="s">
        <v>37</v>
      </c>
      <c r="D8" s="13" t="s">
        <v>19</v>
      </c>
      <c r="E8" s="14">
        <v>5246054</v>
      </c>
      <c r="F8" s="14">
        <v>12332775</v>
      </c>
      <c r="G8" s="14">
        <v>314734848</v>
      </c>
      <c r="H8" s="14">
        <v>486104315</v>
      </c>
      <c r="I8" s="14">
        <v>800839163</v>
      </c>
      <c r="J8" s="14">
        <v>9219955</v>
      </c>
      <c r="K8" s="19">
        <v>0.17006399999999999</v>
      </c>
      <c r="L8" s="14">
        <v>20253818</v>
      </c>
      <c r="M8" s="14">
        <v>180472172</v>
      </c>
      <c r="N8" s="13" t="s">
        <v>35</v>
      </c>
      <c r="O8" s="18">
        <v>0.90769999999999995</v>
      </c>
      <c r="P8" s="18">
        <v>0.93723599999999996</v>
      </c>
    </row>
    <row r="9" spans="1:16" s="1" customFormat="1" ht="16" x14ac:dyDescent="0.2">
      <c r="A9" s="13" t="s">
        <v>38</v>
      </c>
      <c r="B9" s="13" t="s">
        <v>39</v>
      </c>
      <c r="C9" s="13" t="s">
        <v>40</v>
      </c>
      <c r="D9" s="13" t="s">
        <v>19</v>
      </c>
      <c r="E9" s="14">
        <v>1862804</v>
      </c>
      <c r="F9" s="14">
        <v>3690685</v>
      </c>
      <c r="G9" s="14">
        <v>148162820</v>
      </c>
      <c r="H9" s="14">
        <v>409084655</v>
      </c>
      <c r="I9" s="14">
        <v>557247475</v>
      </c>
      <c r="J9" s="14">
        <v>23756921</v>
      </c>
      <c r="K9" s="19">
        <v>0.15287899999999999</v>
      </c>
      <c r="L9" s="14">
        <v>13850359</v>
      </c>
      <c r="M9" s="14">
        <v>116143871</v>
      </c>
      <c r="N9" s="13" t="s">
        <v>38</v>
      </c>
      <c r="O9" s="18">
        <v>0.85109999999999997</v>
      </c>
      <c r="P9" s="18">
        <v>0.89874799999999999</v>
      </c>
    </row>
    <row r="10" spans="1:16" s="1" customFormat="1" ht="16" x14ac:dyDescent="0.2">
      <c r="A10" s="13" t="s">
        <v>41</v>
      </c>
      <c r="B10" s="13" t="s">
        <v>42</v>
      </c>
      <c r="C10" s="13" t="s">
        <v>43</v>
      </c>
      <c r="D10" s="13" t="s">
        <v>19</v>
      </c>
      <c r="E10" s="14">
        <v>5021391</v>
      </c>
      <c r="F10" s="14">
        <v>11110052</v>
      </c>
      <c r="G10" s="14">
        <v>243729391</v>
      </c>
      <c r="H10" s="14">
        <v>517275003</v>
      </c>
      <c r="I10" s="14">
        <v>761004394</v>
      </c>
      <c r="J10" s="14">
        <v>47236889</v>
      </c>
      <c r="K10" s="19">
        <v>0.19592599999999999</v>
      </c>
      <c r="L10" s="14">
        <v>10483663</v>
      </c>
      <c r="M10" s="14">
        <v>82758381</v>
      </c>
      <c r="N10" s="13" t="s">
        <v>41</v>
      </c>
      <c r="O10" s="18">
        <v>0.87860000000000005</v>
      </c>
      <c r="P10" s="18">
        <v>0.91744800000000004</v>
      </c>
    </row>
    <row r="11" spans="1:16" s="1" customFormat="1" ht="16" x14ac:dyDescent="0.2">
      <c r="A11" s="13" t="s">
        <v>44</v>
      </c>
      <c r="B11" s="13" t="s">
        <v>45</v>
      </c>
      <c r="C11" s="13" t="s">
        <v>46</v>
      </c>
      <c r="D11" s="13" t="s">
        <v>19</v>
      </c>
      <c r="E11" s="14">
        <v>8425430</v>
      </c>
      <c r="F11" s="14">
        <v>25179866</v>
      </c>
      <c r="G11" s="14">
        <v>785732388</v>
      </c>
      <c r="H11" s="14">
        <v>733039860</v>
      </c>
      <c r="I11" s="14">
        <v>1518772248</v>
      </c>
      <c r="J11" s="14">
        <v>3373621</v>
      </c>
      <c r="K11" s="19">
        <v>0.17356099999999999</v>
      </c>
      <c r="L11" s="14">
        <v>24136341</v>
      </c>
      <c r="M11" s="14">
        <v>246378622</v>
      </c>
      <c r="N11" s="13" t="s">
        <v>44</v>
      </c>
      <c r="O11" s="18">
        <v>0.90769999999999995</v>
      </c>
      <c r="P11" s="18">
        <v>0.93723599999999996</v>
      </c>
    </row>
    <row r="12" spans="1:16" s="1" customFormat="1" ht="16" x14ac:dyDescent="0.2">
      <c r="A12" s="13" t="s">
        <v>47</v>
      </c>
      <c r="B12" s="13" t="s">
        <v>48</v>
      </c>
      <c r="C12" s="13" t="s">
        <v>49</v>
      </c>
      <c r="D12" s="13" t="s">
        <v>19</v>
      </c>
      <c r="E12" s="14">
        <v>5468933</v>
      </c>
      <c r="F12" s="14">
        <v>17580285</v>
      </c>
      <c r="G12" s="14">
        <v>562913619</v>
      </c>
      <c r="H12" s="14">
        <v>555868521</v>
      </c>
      <c r="I12" s="14">
        <v>1118782140</v>
      </c>
      <c r="J12" s="14">
        <v>38192093</v>
      </c>
      <c r="K12" s="19">
        <v>0.20106199999999999</v>
      </c>
      <c r="L12" s="14">
        <v>27927930</v>
      </c>
      <c r="M12" s="14">
        <v>211740785</v>
      </c>
      <c r="N12" s="13" t="s">
        <v>47</v>
      </c>
      <c r="O12" s="18">
        <v>0.90769999999999995</v>
      </c>
      <c r="P12" s="18">
        <v>0.93723599999999996</v>
      </c>
    </row>
    <row r="13" spans="1:16" s="1" customFormat="1" ht="16" x14ac:dyDescent="0.2">
      <c r="A13" s="13" t="s">
        <v>50</v>
      </c>
      <c r="B13" s="13" t="s">
        <v>51</v>
      </c>
      <c r="C13" s="13" t="s">
        <v>52</v>
      </c>
      <c r="D13" s="13" t="s">
        <v>19</v>
      </c>
      <c r="E13" s="14">
        <v>3558126</v>
      </c>
      <c r="F13" s="14">
        <v>4805494</v>
      </c>
      <c r="G13" s="14">
        <v>410002362</v>
      </c>
      <c r="H13" s="14">
        <v>749669813</v>
      </c>
      <c r="I13" s="14">
        <v>1159672175</v>
      </c>
      <c r="J13" s="14">
        <v>27465135</v>
      </c>
      <c r="K13" s="19">
        <v>0.138405</v>
      </c>
      <c r="L13" s="14">
        <v>31756356</v>
      </c>
      <c r="M13" s="14">
        <v>274448914</v>
      </c>
      <c r="N13" s="13" t="s">
        <v>50</v>
      </c>
      <c r="O13" s="18">
        <v>0.83069999999999999</v>
      </c>
      <c r="P13" s="18">
        <v>0.884876</v>
      </c>
    </row>
    <row r="14" spans="1:16" s="1" customFormat="1" ht="16" x14ac:dyDescent="0.2">
      <c r="A14" s="13" t="s">
        <v>53</v>
      </c>
      <c r="B14" s="13" t="s">
        <v>54</v>
      </c>
      <c r="C14" s="13" t="s">
        <v>55</v>
      </c>
      <c r="D14" s="13" t="s">
        <v>19</v>
      </c>
      <c r="E14" s="14">
        <v>5727732</v>
      </c>
      <c r="F14" s="14">
        <v>20474427</v>
      </c>
      <c r="G14" s="14">
        <v>468480715</v>
      </c>
      <c r="H14" s="14">
        <v>698027445</v>
      </c>
      <c r="I14" s="14">
        <v>1166508160</v>
      </c>
      <c r="J14" s="14">
        <v>-6415328</v>
      </c>
      <c r="K14" s="19">
        <v>0.169735</v>
      </c>
      <c r="L14" s="14">
        <v>27225932</v>
      </c>
      <c r="M14" s="14">
        <v>283091766</v>
      </c>
      <c r="N14" s="13" t="s">
        <v>53</v>
      </c>
      <c r="O14" s="18">
        <v>0.87860000000000005</v>
      </c>
      <c r="P14" s="18">
        <v>0.91744800000000004</v>
      </c>
    </row>
    <row r="15" spans="1:16" s="1" customFormat="1" ht="16" x14ac:dyDescent="0.2">
      <c r="A15" s="13" t="s">
        <v>56</v>
      </c>
      <c r="B15" s="13" t="s">
        <v>57</v>
      </c>
      <c r="C15" s="13" t="s">
        <v>58</v>
      </c>
      <c r="D15" s="13" t="s">
        <v>19</v>
      </c>
      <c r="E15" s="14">
        <v>2890657</v>
      </c>
      <c r="F15" s="14">
        <v>8655159</v>
      </c>
      <c r="G15" s="14">
        <v>270888575</v>
      </c>
      <c r="H15" s="14">
        <v>428524990</v>
      </c>
      <c r="I15" s="14">
        <v>699413565</v>
      </c>
      <c r="J15" s="14">
        <v>28226908</v>
      </c>
      <c r="K15" s="19">
        <v>0.18504799999999999</v>
      </c>
      <c r="L15" s="14">
        <v>12546085</v>
      </c>
      <c r="M15" s="14">
        <v>106039243</v>
      </c>
      <c r="N15" s="13" t="s">
        <v>56</v>
      </c>
      <c r="O15" s="18">
        <v>0.86970000000000003</v>
      </c>
      <c r="P15" s="18">
        <v>0.91139599999999998</v>
      </c>
    </row>
    <row r="16" spans="1:16" s="1" customFormat="1" ht="16" x14ac:dyDescent="0.2">
      <c r="A16" s="13" t="s">
        <v>59</v>
      </c>
      <c r="B16" s="13" t="s">
        <v>60</v>
      </c>
      <c r="C16" s="13" t="s">
        <v>61</v>
      </c>
      <c r="D16" s="13" t="s">
        <v>19</v>
      </c>
      <c r="E16" s="14">
        <v>11672976</v>
      </c>
      <c r="F16" s="14">
        <v>22548340</v>
      </c>
      <c r="G16" s="14">
        <v>270139616</v>
      </c>
      <c r="H16" s="14">
        <v>703977559</v>
      </c>
      <c r="I16" s="14">
        <v>974117175</v>
      </c>
      <c r="J16" s="14">
        <v>57976965</v>
      </c>
      <c r="K16" s="19">
        <v>0.258714</v>
      </c>
      <c r="L16" s="14">
        <v>28985841</v>
      </c>
      <c r="M16" s="14">
        <v>187754654</v>
      </c>
      <c r="N16" s="13" t="s">
        <v>59</v>
      </c>
      <c r="O16" s="18">
        <v>0.93459999999999999</v>
      </c>
      <c r="P16" s="18">
        <v>0.95552799999999993</v>
      </c>
    </row>
    <row r="17" spans="1:16" s="1" customFormat="1" ht="16" x14ac:dyDescent="0.2">
      <c r="A17" s="13" t="s">
        <v>62</v>
      </c>
      <c r="B17" s="13" t="s">
        <v>63</v>
      </c>
      <c r="C17" s="13" t="s">
        <v>64</v>
      </c>
      <c r="D17" s="13" t="s">
        <v>19</v>
      </c>
      <c r="E17" s="14">
        <v>9067572</v>
      </c>
      <c r="F17" s="14">
        <v>29348886</v>
      </c>
      <c r="G17" s="14">
        <v>749242460</v>
      </c>
      <c r="H17" s="14">
        <v>771314890</v>
      </c>
      <c r="I17" s="14">
        <v>1520557350</v>
      </c>
      <c r="J17" s="14">
        <v>1930232</v>
      </c>
      <c r="K17" s="19">
        <v>0.16952700000000001</v>
      </c>
      <c r="L17" s="14">
        <v>29442960</v>
      </c>
      <c r="M17" s="14">
        <v>314767913</v>
      </c>
      <c r="N17" s="13" t="s">
        <v>62</v>
      </c>
      <c r="O17" s="18">
        <v>0.90769999999999995</v>
      </c>
      <c r="P17" s="18">
        <v>0.93723599999999996</v>
      </c>
    </row>
    <row r="18" spans="1:16" s="1" customFormat="1" ht="16" x14ac:dyDescent="0.2">
      <c r="A18" s="13" t="s">
        <v>65</v>
      </c>
      <c r="B18" s="13" t="s">
        <v>66</v>
      </c>
      <c r="C18" s="13" t="s">
        <v>67</v>
      </c>
      <c r="D18" s="13" t="s">
        <v>19</v>
      </c>
      <c r="E18" s="14">
        <v>4828627</v>
      </c>
      <c r="F18" s="14">
        <v>4828627</v>
      </c>
      <c r="G18" s="14">
        <v>624044288</v>
      </c>
      <c r="H18" s="14">
        <v>840994924</v>
      </c>
      <c r="I18" s="14">
        <v>1465039212</v>
      </c>
      <c r="J18" s="14">
        <v>48822893</v>
      </c>
      <c r="K18" s="19">
        <v>0.14670900000000001</v>
      </c>
      <c r="L18" s="14">
        <v>37686837</v>
      </c>
      <c r="M18" s="14">
        <v>293574911</v>
      </c>
      <c r="N18" s="13" t="s">
        <v>65</v>
      </c>
      <c r="O18" s="18">
        <v>0.82540000000000002</v>
      </c>
      <c r="P18" s="18">
        <v>0.88127200000000006</v>
      </c>
    </row>
    <row r="19" spans="1:16" s="1" customFormat="1" ht="16" x14ac:dyDescent="0.2">
      <c r="A19" s="13" t="s">
        <v>68</v>
      </c>
      <c r="B19" s="13" t="s">
        <v>69</v>
      </c>
      <c r="C19" s="13" t="s">
        <v>64</v>
      </c>
      <c r="D19" s="13" t="s">
        <v>19</v>
      </c>
      <c r="E19" s="14">
        <v>6775734</v>
      </c>
      <c r="F19" s="14">
        <v>24611989</v>
      </c>
      <c r="G19" s="14">
        <v>896279547</v>
      </c>
      <c r="H19" s="14">
        <v>689126573</v>
      </c>
      <c r="I19" s="14">
        <v>1585406120</v>
      </c>
      <c r="J19" s="14">
        <v>-2187010</v>
      </c>
      <c r="K19" s="19">
        <v>0.18981000000000001</v>
      </c>
      <c r="L19" s="14">
        <v>23251658</v>
      </c>
      <c r="M19" s="14">
        <v>220280715</v>
      </c>
      <c r="N19" s="13" t="s">
        <v>68</v>
      </c>
      <c r="O19" s="18">
        <v>0.90769999999999995</v>
      </c>
      <c r="P19" s="18">
        <v>0.93723599999999996</v>
      </c>
    </row>
    <row r="20" spans="1:16" s="1" customFormat="1" ht="16" x14ac:dyDescent="0.2">
      <c r="A20" s="13" t="s">
        <v>70</v>
      </c>
      <c r="B20" s="13" t="s">
        <v>71</v>
      </c>
      <c r="C20" s="13" t="s">
        <v>72</v>
      </c>
      <c r="D20" s="13" t="s">
        <v>19</v>
      </c>
      <c r="E20" s="14">
        <v>6306455</v>
      </c>
      <c r="F20" s="14">
        <v>18683989</v>
      </c>
      <c r="G20" s="14">
        <v>372212294</v>
      </c>
      <c r="H20" s="14">
        <v>513795568</v>
      </c>
      <c r="I20" s="14">
        <v>886007862</v>
      </c>
      <c r="J20" s="14">
        <v>-19383253</v>
      </c>
      <c r="K20" s="19">
        <v>0.23439299999999999</v>
      </c>
      <c r="L20" s="14">
        <v>11288869</v>
      </c>
      <c r="M20" s="14">
        <v>100968899</v>
      </c>
      <c r="N20" s="13" t="s">
        <v>70</v>
      </c>
      <c r="O20" s="18">
        <v>0.87860000000000005</v>
      </c>
      <c r="P20" s="18">
        <v>0.91744800000000004</v>
      </c>
    </row>
    <row r="21" spans="1:16" s="1" customFormat="1" ht="16" x14ac:dyDescent="0.2">
      <c r="A21" s="13" t="s">
        <v>73</v>
      </c>
      <c r="B21" s="13" t="s">
        <v>74</v>
      </c>
      <c r="C21" s="13" t="s">
        <v>52</v>
      </c>
      <c r="D21" s="13" t="s">
        <v>19</v>
      </c>
      <c r="E21" s="14">
        <v>1792494</v>
      </c>
      <c r="F21" s="14">
        <v>9061090</v>
      </c>
      <c r="G21" s="14">
        <v>433665699</v>
      </c>
      <c r="H21" s="14">
        <v>389977244</v>
      </c>
      <c r="I21" s="14">
        <v>823642943</v>
      </c>
      <c r="J21" s="14">
        <v>-2244899</v>
      </c>
      <c r="K21" s="19">
        <v>0.13853199999999999</v>
      </c>
      <c r="L21" s="14">
        <v>12843732</v>
      </c>
      <c r="M21" s="14">
        <v>145181820</v>
      </c>
      <c r="N21" s="13" t="s">
        <v>73</v>
      </c>
      <c r="O21" s="18">
        <v>0.82879999999999998</v>
      </c>
      <c r="P21" s="18">
        <v>0.88358399999999993</v>
      </c>
    </row>
    <row r="22" spans="1:16" s="1" customFormat="1" ht="16" x14ac:dyDescent="0.2">
      <c r="A22" s="13" t="s">
        <v>75</v>
      </c>
      <c r="B22" s="13" t="s">
        <v>76</v>
      </c>
      <c r="C22" s="13" t="s">
        <v>77</v>
      </c>
      <c r="D22" s="13" t="s">
        <v>19</v>
      </c>
      <c r="E22" s="14">
        <v>10408104</v>
      </c>
      <c r="F22" s="14">
        <v>24790745</v>
      </c>
      <c r="G22" s="14">
        <v>393591643</v>
      </c>
      <c r="H22" s="14">
        <v>715026059</v>
      </c>
      <c r="I22" s="14">
        <v>1108617702</v>
      </c>
      <c r="J22" s="14">
        <v>5127331</v>
      </c>
      <c r="K22" s="19">
        <v>0.25581500000000001</v>
      </c>
      <c r="L22" s="14">
        <v>28559690</v>
      </c>
      <c r="M22" s="14">
        <v>180094285</v>
      </c>
      <c r="N22" s="13" t="s">
        <v>75</v>
      </c>
      <c r="O22" s="18">
        <v>0.93459999999999999</v>
      </c>
      <c r="P22" s="18">
        <v>0.95552799999999993</v>
      </c>
    </row>
    <row r="23" spans="1:16" s="1" customFormat="1" ht="16" x14ac:dyDescent="0.2">
      <c r="A23" s="13" t="s">
        <v>78</v>
      </c>
      <c r="B23" s="13" t="s">
        <v>79</v>
      </c>
      <c r="C23" s="13" t="s">
        <v>80</v>
      </c>
      <c r="D23" s="13" t="s">
        <v>19</v>
      </c>
      <c r="E23" s="14">
        <v>6978429</v>
      </c>
      <c r="F23" s="14">
        <v>14159619</v>
      </c>
      <c r="G23" s="14">
        <v>399654738</v>
      </c>
      <c r="H23" s="14">
        <v>603888838</v>
      </c>
      <c r="I23" s="14">
        <v>1003543576</v>
      </c>
      <c r="J23" s="14">
        <v>4983069</v>
      </c>
      <c r="K23" s="19">
        <v>0.15435299999999999</v>
      </c>
      <c r="L23" s="14">
        <v>21318136</v>
      </c>
      <c r="M23" s="14">
        <v>213053036</v>
      </c>
      <c r="N23" s="13" t="s">
        <v>78</v>
      </c>
      <c r="O23" s="18">
        <v>0.90769999999999995</v>
      </c>
      <c r="P23" s="18">
        <v>0.93723599999999996</v>
      </c>
    </row>
    <row r="24" spans="1:16" s="1" customFormat="1" ht="16" x14ac:dyDescent="0.2">
      <c r="A24" s="13" t="s">
        <v>81</v>
      </c>
      <c r="B24" s="13" t="s">
        <v>82</v>
      </c>
      <c r="C24" s="13" t="s">
        <v>67</v>
      </c>
      <c r="D24" s="13" t="s">
        <v>19</v>
      </c>
      <c r="E24" s="14">
        <v>16186</v>
      </c>
      <c r="F24" s="14">
        <v>16186</v>
      </c>
      <c r="G24" s="14">
        <v>49045808</v>
      </c>
      <c r="H24" s="14">
        <v>543000256</v>
      </c>
      <c r="I24" s="14">
        <v>592046064</v>
      </c>
      <c r="J24" s="14">
        <v>11716097</v>
      </c>
      <c r="K24" s="19">
        <v>0.159358</v>
      </c>
      <c r="L24" s="14">
        <v>10899240</v>
      </c>
      <c r="M24" s="14">
        <v>68297341</v>
      </c>
      <c r="N24" s="13" t="s">
        <v>81</v>
      </c>
      <c r="O24" s="18">
        <v>0.82540000000000002</v>
      </c>
      <c r="P24" s="18">
        <v>0.88127200000000006</v>
      </c>
    </row>
    <row r="25" spans="1:16" s="1" customFormat="1" ht="16" x14ac:dyDescent="0.2">
      <c r="A25" s="13" t="s">
        <v>83</v>
      </c>
      <c r="B25" s="13" t="s">
        <v>84</v>
      </c>
      <c r="C25" s="13" t="s">
        <v>85</v>
      </c>
      <c r="D25" s="13" t="s">
        <v>19</v>
      </c>
      <c r="E25" s="14">
        <v>905073</v>
      </c>
      <c r="F25" s="14">
        <v>5943596</v>
      </c>
      <c r="G25" s="14">
        <v>13793279</v>
      </c>
      <c r="H25" s="14">
        <v>142458971</v>
      </c>
      <c r="I25" s="14">
        <v>156252250</v>
      </c>
      <c r="J25" s="14">
        <v>-13378462</v>
      </c>
      <c r="K25" s="19">
        <v>0.399594</v>
      </c>
      <c r="L25" s="14">
        <v>933993</v>
      </c>
      <c r="M25" s="14">
        <v>11468234</v>
      </c>
      <c r="N25" s="13" t="s">
        <v>83</v>
      </c>
      <c r="O25" s="18">
        <v>0.87860000000000005</v>
      </c>
      <c r="P25" s="18">
        <v>0.91744800000000004</v>
      </c>
    </row>
    <row r="26" spans="1:16" s="1" customFormat="1" ht="16" x14ac:dyDescent="0.2">
      <c r="A26" s="13" t="s">
        <v>86</v>
      </c>
      <c r="B26" s="13" t="s">
        <v>87</v>
      </c>
      <c r="C26" s="13" t="s">
        <v>58</v>
      </c>
      <c r="D26" s="13" t="s">
        <v>19</v>
      </c>
      <c r="E26" s="14">
        <v>3685576</v>
      </c>
      <c r="F26" s="14">
        <v>6948394</v>
      </c>
      <c r="G26" s="14">
        <v>76152692</v>
      </c>
      <c r="H26" s="14">
        <v>337875565</v>
      </c>
      <c r="I26" s="14">
        <v>414028257</v>
      </c>
      <c r="J26" s="14">
        <v>7565034</v>
      </c>
      <c r="K26" s="19">
        <v>0.15265200000000001</v>
      </c>
      <c r="L26" s="14">
        <v>7607437</v>
      </c>
      <c r="M26" s="14">
        <v>87782354</v>
      </c>
      <c r="N26" s="13" t="s">
        <v>86</v>
      </c>
      <c r="O26" s="18">
        <v>0.86970000000000003</v>
      </c>
      <c r="P26" s="18">
        <v>0.91139599999999998</v>
      </c>
    </row>
    <row r="27" spans="1:16" s="1" customFormat="1" ht="16" x14ac:dyDescent="0.2">
      <c r="A27" s="13" t="s">
        <v>88</v>
      </c>
      <c r="B27" s="13" t="s">
        <v>89</v>
      </c>
      <c r="C27" s="13" t="s">
        <v>90</v>
      </c>
      <c r="D27" s="13" t="s">
        <v>19</v>
      </c>
      <c r="E27" s="14">
        <v>1656625</v>
      </c>
      <c r="F27" s="14">
        <v>4077483</v>
      </c>
      <c r="G27" s="14">
        <v>43241804</v>
      </c>
      <c r="H27" s="14">
        <v>108660538</v>
      </c>
      <c r="I27" s="14">
        <v>151902342</v>
      </c>
      <c r="J27" s="14">
        <v>2064473</v>
      </c>
      <c r="K27" s="19">
        <v>0.23355000000000001</v>
      </c>
      <c r="L27" s="14">
        <v>7728464</v>
      </c>
      <c r="M27" s="14">
        <v>48266142</v>
      </c>
      <c r="N27" s="13" t="s">
        <v>88</v>
      </c>
      <c r="O27" s="18">
        <v>0.82540000000000002</v>
      </c>
      <c r="P27" s="18">
        <v>0.88127200000000006</v>
      </c>
    </row>
    <row r="28" spans="1:16" s="1" customFormat="1" ht="16" x14ac:dyDescent="0.2">
      <c r="A28" s="13" t="s">
        <v>91</v>
      </c>
      <c r="B28" s="13" t="s">
        <v>92</v>
      </c>
      <c r="C28" s="13" t="s">
        <v>93</v>
      </c>
      <c r="D28" s="13" t="s">
        <v>19</v>
      </c>
      <c r="E28" s="14">
        <v>10727358</v>
      </c>
      <c r="F28" s="14">
        <v>37731761</v>
      </c>
      <c r="G28" s="14">
        <v>537466362</v>
      </c>
      <c r="H28" s="14">
        <v>726119039</v>
      </c>
      <c r="I28" s="14">
        <v>1263585401</v>
      </c>
      <c r="J28" s="14">
        <v>-67703090</v>
      </c>
      <c r="K28" s="19">
        <v>0.309728</v>
      </c>
      <c r="L28" s="14">
        <v>22584935</v>
      </c>
      <c r="M28" s="14">
        <v>172457426</v>
      </c>
      <c r="N28" s="13" t="s">
        <v>91</v>
      </c>
      <c r="O28" s="18">
        <v>0.87860000000000005</v>
      </c>
      <c r="P28" s="18">
        <v>0.91744800000000004</v>
      </c>
    </row>
    <row r="29" spans="1:16" s="1" customFormat="1" ht="16" x14ac:dyDescent="0.2">
      <c r="A29" s="13" t="s">
        <v>94</v>
      </c>
      <c r="B29" s="13" t="s">
        <v>95</v>
      </c>
      <c r="C29" s="13" t="s">
        <v>96</v>
      </c>
      <c r="D29" s="13" t="s">
        <v>19</v>
      </c>
      <c r="E29" s="14">
        <v>5079101</v>
      </c>
      <c r="F29" s="14">
        <v>23284853</v>
      </c>
      <c r="G29" s="14">
        <v>600539045</v>
      </c>
      <c r="H29" s="14">
        <v>1013672627</v>
      </c>
      <c r="I29" s="14">
        <v>1614211672</v>
      </c>
      <c r="J29" s="14">
        <v>4257406</v>
      </c>
      <c r="K29" s="19">
        <v>0.22439200000000001</v>
      </c>
      <c r="L29" s="14">
        <v>15987644</v>
      </c>
      <c r="M29" s="14">
        <v>152382418</v>
      </c>
      <c r="N29" s="13" t="s">
        <v>94</v>
      </c>
      <c r="O29" s="18">
        <v>0.87860000000000005</v>
      </c>
      <c r="P29" s="18">
        <v>0.91744800000000004</v>
      </c>
    </row>
    <row r="30" spans="1:16" s="1" customFormat="1" ht="16" x14ac:dyDescent="0.2">
      <c r="A30" s="13" t="s">
        <v>97</v>
      </c>
      <c r="B30" s="13" t="s">
        <v>98</v>
      </c>
      <c r="C30" s="13" t="s">
        <v>99</v>
      </c>
      <c r="D30" s="13" t="s">
        <v>19</v>
      </c>
      <c r="E30" s="14">
        <v>460405</v>
      </c>
      <c r="F30" s="14">
        <v>460405</v>
      </c>
      <c r="G30" s="14">
        <v>78085957</v>
      </c>
      <c r="H30" s="14">
        <v>12083612</v>
      </c>
      <c r="I30" s="14">
        <v>90169569</v>
      </c>
      <c r="J30" s="14">
        <v>912020</v>
      </c>
      <c r="K30" s="19">
        <v>0.230519</v>
      </c>
      <c r="L30" s="14">
        <v>9269697</v>
      </c>
      <c r="M30" s="14">
        <v>38348754</v>
      </c>
      <c r="N30" s="13" t="s">
        <v>97</v>
      </c>
      <c r="O30" s="18">
        <v>0.85470000000000002</v>
      </c>
      <c r="P30" s="18">
        <v>0.901196</v>
      </c>
    </row>
    <row r="31" spans="1:16" s="1" customFormat="1" ht="16" x14ac:dyDescent="0.2">
      <c r="A31" s="13" t="s">
        <v>100</v>
      </c>
      <c r="B31" s="13" t="s">
        <v>101</v>
      </c>
      <c r="C31" s="13" t="s">
        <v>102</v>
      </c>
      <c r="D31" s="13" t="s">
        <v>19</v>
      </c>
      <c r="E31" s="14">
        <v>1668951</v>
      </c>
      <c r="F31" s="14">
        <v>4496969</v>
      </c>
      <c r="G31" s="14">
        <v>21203882</v>
      </c>
      <c r="H31" s="14">
        <v>179669037</v>
      </c>
      <c r="I31" s="14">
        <v>200872919</v>
      </c>
      <c r="J31" s="14">
        <v>-4095811</v>
      </c>
      <c r="K31" s="19">
        <v>0.180061</v>
      </c>
      <c r="L31" s="14">
        <v>5167765</v>
      </c>
      <c r="M31" s="14">
        <v>46041269</v>
      </c>
      <c r="N31" s="13" t="s">
        <v>100</v>
      </c>
      <c r="O31" s="18">
        <v>0.86970000000000003</v>
      </c>
      <c r="P31" s="18">
        <v>0.91139599999999998</v>
      </c>
    </row>
    <row r="32" spans="1:16" s="1" customFormat="1" ht="16" x14ac:dyDescent="0.2">
      <c r="A32" s="13" t="s">
        <v>103</v>
      </c>
      <c r="B32" s="13" t="s">
        <v>104</v>
      </c>
      <c r="C32" s="13" t="s">
        <v>105</v>
      </c>
      <c r="D32" s="13" t="s">
        <v>19</v>
      </c>
      <c r="E32" s="14">
        <v>7261970</v>
      </c>
      <c r="F32" s="14">
        <v>16523117</v>
      </c>
      <c r="G32" s="14">
        <v>223219796</v>
      </c>
      <c r="H32" s="14">
        <v>440266776</v>
      </c>
      <c r="I32" s="14">
        <v>663486572</v>
      </c>
      <c r="J32" s="14">
        <v>-1177048</v>
      </c>
      <c r="K32" s="19">
        <v>0.218999</v>
      </c>
      <c r="L32" s="14">
        <v>14615458</v>
      </c>
      <c r="M32" s="14">
        <v>109026090</v>
      </c>
      <c r="N32" s="13" t="s">
        <v>103</v>
      </c>
      <c r="O32" s="18">
        <v>0.85470000000000002</v>
      </c>
      <c r="P32" s="18">
        <v>0.901196</v>
      </c>
    </row>
    <row r="33" spans="1:16" s="1" customFormat="1" ht="16" x14ac:dyDescent="0.2">
      <c r="A33" s="13" t="s">
        <v>106</v>
      </c>
      <c r="B33" s="13" t="s">
        <v>107</v>
      </c>
      <c r="C33" s="13" t="s">
        <v>108</v>
      </c>
      <c r="D33" s="13" t="s">
        <v>19</v>
      </c>
      <c r="E33" s="14">
        <v>9045819</v>
      </c>
      <c r="F33" s="14">
        <v>21661404</v>
      </c>
      <c r="G33" s="14">
        <v>307772735</v>
      </c>
      <c r="H33" s="14">
        <v>644508358</v>
      </c>
      <c r="I33" s="14">
        <v>952281093</v>
      </c>
      <c r="J33" s="14">
        <v>-4145241</v>
      </c>
      <c r="K33" s="19">
        <v>0.21376800000000001</v>
      </c>
      <c r="L33" s="14">
        <v>22410675</v>
      </c>
      <c r="M33" s="14">
        <v>163851748</v>
      </c>
      <c r="N33" s="13" t="s">
        <v>106</v>
      </c>
      <c r="O33" s="18">
        <v>0.87860000000000005</v>
      </c>
      <c r="P33" s="18">
        <v>0.91744800000000004</v>
      </c>
    </row>
    <row r="34" spans="1:16" s="1" customFormat="1" ht="16" x14ac:dyDescent="0.2">
      <c r="A34" s="13" t="s">
        <v>109</v>
      </c>
      <c r="B34" s="13" t="s">
        <v>110</v>
      </c>
      <c r="C34" s="13" t="s">
        <v>85</v>
      </c>
      <c r="D34" s="13" t="s">
        <v>19</v>
      </c>
      <c r="E34" s="14">
        <v>8251795</v>
      </c>
      <c r="F34" s="14">
        <v>26786363</v>
      </c>
      <c r="G34" s="14">
        <v>411047036</v>
      </c>
      <c r="H34" s="14">
        <v>670960894</v>
      </c>
      <c r="I34" s="14">
        <v>1082007930</v>
      </c>
      <c r="J34" s="14">
        <v>-7349839</v>
      </c>
      <c r="K34" s="19">
        <v>0.247506</v>
      </c>
      <c r="L34" s="14">
        <v>14835700</v>
      </c>
      <c r="M34" s="14">
        <v>134826099</v>
      </c>
      <c r="N34" s="13" t="s">
        <v>109</v>
      </c>
      <c r="O34" s="18">
        <v>0.87860000000000005</v>
      </c>
      <c r="P34" s="18">
        <v>0.91744800000000004</v>
      </c>
    </row>
    <row r="35" spans="1:16" s="1" customFormat="1" ht="16" x14ac:dyDescent="0.2">
      <c r="A35" s="13" t="s">
        <v>111</v>
      </c>
      <c r="B35" s="13" t="s">
        <v>112</v>
      </c>
      <c r="C35" s="13" t="s">
        <v>64</v>
      </c>
      <c r="D35" s="13" t="s">
        <v>19</v>
      </c>
      <c r="E35" s="14">
        <v>7670126</v>
      </c>
      <c r="F35" s="14">
        <v>20810459</v>
      </c>
      <c r="G35" s="14">
        <v>766247143</v>
      </c>
      <c r="H35" s="14">
        <v>495107725</v>
      </c>
      <c r="I35" s="14">
        <v>1261354868</v>
      </c>
      <c r="J35" s="14">
        <v>8751112</v>
      </c>
      <c r="K35" s="19">
        <v>0.18121300000000001</v>
      </c>
      <c r="L35" s="14">
        <v>18187258</v>
      </c>
      <c r="M35" s="14">
        <v>177111959</v>
      </c>
      <c r="N35" s="13" t="s">
        <v>111</v>
      </c>
      <c r="O35" s="18">
        <v>0.90769999999999995</v>
      </c>
      <c r="P35" s="18">
        <v>0.93723599999999996</v>
      </c>
    </row>
    <row r="36" spans="1:16" s="1" customFormat="1" ht="16" x14ac:dyDescent="0.2">
      <c r="A36" s="13" t="s">
        <v>113</v>
      </c>
      <c r="B36" s="13" t="s">
        <v>114</v>
      </c>
      <c r="C36" s="13" t="s">
        <v>115</v>
      </c>
      <c r="D36" s="13" t="s">
        <v>19</v>
      </c>
      <c r="E36" s="14">
        <v>9915</v>
      </c>
      <c r="F36" s="14">
        <v>9915</v>
      </c>
      <c r="G36" s="14">
        <v>1994520</v>
      </c>
      <c r="H36" s="14"/>
      <c r="I36" s="14">
        <v>1994520</v>
      </c>
      <c r="J36" s="14">
        <v>-993937</v>
      </c>
      <c r="K36" s="19">
        <v>1.075599</v>
      </c>
      <c r="L36" s="14"/>
      <c r="M36" s="14"/>
      <c r="N36" s="13" t="s">
        <v>113</v>
      </c>
      <c r="O36" s="18">
        <v>0.93459999999999999</v>
      </c>
      <c r="P36" s="18">
        <v>0.95552799999999993</v>
      </c>
    </row>
    <row r="37" spans="1:16" s="1" customFormat="1" ht="16" x14ac:dyDescent="0.2">
      <c r="A37" s="13" t="s">
        <v>116</v>
      </c>
      <c r="B37" s="13" t="s">
        <v>117</v>
      </c>
      <c r="C37" s="13" t="s">
        <v>118</v>
      </c>
      <c r="D37" s="13" t="s">
        <v>19</v>
      </c>
      <c r="E37" s="14">
        <v>68376288</v>
      </c>
      <c r="F37" s="14">
        <v>138007383</v>
      </c>
      <c r="G37" s="14">
        <v>3484325500</v>
      </c>
      <c r="H37" s="14">
        <v>2364723162</v>
      </c>
      <c r="I37" s="14">
        <v>5849048662</v>
      </c>
      <c r="J37" s="14">
        <v>102500729</v>
      </c>
      <c r="K37" s="19">
        <v>0.21315300000000001</v>
      </c>
      <c r="L37" s="14">
        <v>85667934</v>
      </c>
      <c r="M37" s="14">
        <v>783087391</v>
      </c>
      <c r="N37" s="13" t="s">
        <v>116</v>
      </c>
      <c r="O37" s="18">
        <v>0.93459999999999999</v>
      </c>
      <c r="P37" s="18">
        <v>0.95552799999999993</v>
      </c>
    </row>
    <row r="38" spans="1:16" s="1" customFormat="1" ht="16" x14ac:dyDescent="0.2">
      <c r="A38" s="13" t="s">
        <v>119</v>
      </c>
      <c r="B38" s="13" t="s">
        <v>120</v>
      </c>
      <c r="C38" s="13" t="s">
        <v>121</v>
      </c>
      <c r="D38" s="13" t="s">
        <v>19</v>
      </c>
      <c r="E38" s="14">
        <v>35361387</v>
      </c>
      <c r="F38" s="14">
        <v>40201225</v>
      </c>
      <c r="G38" s="14">
        <v>809942150</v>
      </c>
      <c r="H38" s="14">
        <v>707211005</v>
      </c>
      <c r="I38" s="14">
        <v>1517153155</v>
      </c>
      <c r="J38" s="14">
        <v>40592518</v>
      </c>
      <c r="K38" s="19">
        <v>0.22703899999999999</v>
      </c>
      <c r="L38" s="14">
        <v>45103852</v>
      </c>
      <c r="M38" s="14">
        <v>219978463</v>
      </c>
      <c r="N38" s="13" t="s">
        <v>119</v>
      </c>
      <c r="O38" s="18">
        <v>0.93459999999999999</v>
      </c>
      <c r="P38" s="18">
        <v>0.95552799999999993</v>
      </c>
    </row>
    <row r="39" spans="1:16" s="1" customFormat="1" ht="16" x14ac:dyDescent="0.2">
      <c r="A39" s="13" t="s">
        <v>122</v>
      </c>
      <c r="B39" s="13" t="s">
        <v>123</v>
      </c>
      <c r="C39" s="13" t="s">
        <v>124</v>
      </c>
      <c r="D39" s="13" t="s">
        <v>19</v>
      </c>
      <c r="E39" s="14">
        <v>3366746</v>
      </c>
      <c r="F39" s="14">
        <v>6810944</v>
      </c>
      <c r="G39" s="14">
        <v>50302051</v>
      </c>
      <c r="H39" s="14">
        <v>211575528</v>
      </c>
      <c r="I39" s="14">
        <v>261877579</v>
      </c>
      <c r="J39" s="14">
        <v>13399986</v>
      </c>
      <c r="K39" s="19">
        <v>0.35573199999999999</v>
      </c>
      <c r="L39" s="14">
        <v>8129263</v>
      </c>
      <c r="M39" s="14">
        <v>32017053</v>
      </c>
      <c r="N39" s="13" t="s">
        <v>122</v>
      </c>
      <c r="O39" s="18">
        <v>0.85109999999999997</v>
      </c>
      <c r="P39" s="18">
        <v>0.89874799999999999</v>
      </c>
    </row>
    <row r="40" spans="1:16" s="1" customFormat="1" ht="16" x14ac:dyDescent="0.2">
      <c r="A40" s="13" t="s">
        <v>125</v>
      </c>
      <c r="B40" s="13" t="s">
        <v>126</v>
      </c>
      <c r="C40" s="13" t="s">
        <v>118</v>
      </c>
      <c r="D40" s="13" t="s">
        <v>19</v>
      </c>
      <c r="E40" s="14">
        <v>66431678</v>
      </c>
      <c r="F40" s="14">
        <v>77643714</v>
      </c>
      <c r="G40" s="14">
        <v>1938357086</v>
      </c>
      <c r="H40" s="14">
        <v>1326393071</v>
      </c>
      <c r="I40" s="14">
        <v>3264750157</v>
      </c>
      <c r="J40" s="14">
        <v>-28137140</v>
      </c>
      <c r="K40" s="19">
        <v>0.21013299999999999</v>
      </c>
      <c r="L40" s="14">
        <v>87358291</v>
      </c>
      <c r="M40" s="14">
        <v>469085423</v>
      </c>
      <c r="N40" s="13" t="s">
        <v>125</v>
      </c>
      <c r="O40" s="18">
        <v>0.93459999999999999</v>
      </c>
      <c r="P40" s="18">
        <v>0.95552799999999993</v>
      </c>
    </row>
    <row r="41" spans="1:16" s="1" customFormat="1" ht="16" x14ac:dyDescent="0.2">
      <c r="A41" s="13" t="s">
        <v>127</v>
      </c>
      <c r="B41" s="13" t="s">
        <v>128</v>
      </c>
      <c r="C41" s="13" t="s">
        <v>64</v>
      </c>
      <c r="D41" s="13" t="s">
        <v>19</v>
      </c>
      <c r="E41" s="14">
        <v>13543963</v>
      </c>
      <c r="F41" s="14">
        <v>47445511</v>
      </c>
      <c r="G41" s="14">
        <v>1503284814</v>
      </c>
      <c r="H41" s="14">
        <v>1889945307</v>
      </c>
      <c r="I41" s="14">
        <v>3393230121</v>
      </c>
      <c r="J41" s="14">
        <v>177848184</v>
      </c>
      <c r="K41" s="19">
        <v>0.25862200000000002</v>
      </c>
      <c r="L41" s="14">
        <v>49983204</v>
      </c>
      <c r="M41" s="14">
        <v>324352731</v>
      </c>
      <c r="N41" s="13" t="s">
        <v>127</v>
      </c>
      <c r="O41" s="18">
        <v>0.90769999999999995</v>
      </c>
      <c r="P41" s="18">
        <v>0.93723599999999996</v>
      </c>
    </row>
    <row r="42" spans="1:16" s="1" customFormat="1" ht="16" x14ac:dyDescent="0.2">
      <c r="A42" s="13" t="s">
        <v>129</v>
      </c>
      <c r="B42" s="13" t="s">
        <v>130</v>
      </c>
      <c r="C42" s="13" t="s">
        <v>131</v>
      </c>
      <c r="D42" s="13" t="s">
        <v>19</v>
      </c>
      <c r="E42" s="14">
        <v>4632315</v>
      </c>
      <c r="F42" s="14">
        <v>12010208</v>
      </c>
      <c r="G42" s="14">
        <v>84292511</v>
      </c>
      <c r="H42" s="14">
        <v>302308407</v>
      </c>
      <c r="I42" s="14">
        <v>386600918</v>
      </c>
      <c r="J42" s="14">
        <v>22600800</v>
      </c>
      <c r="K42" s="19">
        <v>0.264876</v>
      </c>
      <c r="L42" s="14">
        <v>9365405</v>
      </c>
      <c r="M42" s="14">
        <v>70239813</v>
      </c>
      <c r="N42" s="13" t="s">
        <v>129</v>
      </c>
      <c r="O42" s="18">
        <v>0.93459999999999999</v>
      </c>
      <c r="P42" s="18">
        <v>0.95552799999999993</v>
      </c>
    </row>
    <row r="43" spans="1:16" s="1" customFormat="1" ht="16" x14ac:dyDescent="0.2">
      <c r="A43" s="13" t="s">
        <v>132</v>
      </c>
      <c r="B43" s="13" t="s">
        <v>133</v>
      </c>
      <c r="C43" s="13" t="s">
        <v>134</v>
      </c>
      <c r="D43" s="13" t="s">
        <v>19</v>
      </c>
      <c r="E43" s="14">
        <v>5579377</v>
      </c>
      <c r="F43" s="14">
        <v>11759313</v>
      </c>
      <c r="G43" s="14">
        <v>83084005</v>
      </c>
      <c r="H43" s="14">
        <v>346616112</v>
      </c>
      <c r="I43" s="14">
        <v>429700117</v>
      </c>
      <c r="J43" s="14">
        <v>22934010</v>
      </c>
      <c r="K43" s="19">
        <v>0.25377300000000003</v>
      </c>
      <c r="L43" s="14">
        <v>6349127</v>
      </c>
      <c r="M43" s="14">
        <v>51397975</v>
      </c>
      <c r="N43" s="13" t="s">
        <v>132</v>
      </c>
      <c r="O43" s="18">
        <v>0.93459999999999999</v>
      </c>
      <c r="P43" s="18">
        <v>0.95552799999999993</v>
      </c>
    </row>
    <row r="44" spans="1:16" s="1" customFormat="1" ht="16" x14ac:dyDescent="0.2">
      <c r="A44" s="13" t="s">
        <v>135</v>
      </c>
      <c r="B44" s="13" t="s">
        <v>136</v>
      </c>
      <c r="C44" s="13" t="s">
        <v>137</v>
      </c>
      <c r="D44" s="13" t="s">
        <v>19</v>
      </c>
      <c r="E44" s="14">
        <v>845924</v>
      </c>
      <c r="F44" s="14">
        <v>4612329</v>
      </c>
      <c r="G44" s="14">
        <v>121137574</v>
      </c>
      <c r="H44" s="14">
        <v>225141657</v>
      </c>
      <c r="I44" s="14">
        <v>346279231</v>
      </c>
      <c r="J44" s="14">
        <v>15251446</v>
      </c>
      <c r="K44" s="19">
        <v>0.20155000000000001</v>
      </c>
      <c r="L44" s="14">
        <v>-1347278</v>
      </c>
      <c r="M44" s="14">
        <v>12002613</v>
      </c>
      <c r="N44" s="13" t="s">
        <v>135</v>
      </c>
      <c r="O44" s="18">
        <v>0.93459999999999999</v>
      </c>
      <c r="P44" s="18">
        <v>0.95552799999999993</v>
      </c>
    </row>
    <row r="45" spans="1:16" s="1" customFormat="1" ht="16" x14ac:dyDescent="0.2">
      <c r="A45" s="13" t="s">
        <v>138</v>
      </c>
      <c r="B45" s="13" t="s">
        <v>139</v>
      </c>
      <c r="C45" s="13" t="s">
        <v>140</v>
      </c>
      <c r="D45" s="13" t="s">
        <v>19</v>
      </c>
      <c r="E45" s="14">
        <v>3548288</v>
      </c>
      <c r="F45" s="14">
        <v>3580982</v>
      </c>
      <c r="G45" s="14">
        <v>3836886</v>
      </c>
      <c r="H45" s="14">
        <v>99804842</v>
      </c>
      <c r="I45" s="14">
        <v>103641728</v>
      </c>
      <c r="J45" s="14">
        <v>11827432</v>
      </c>
      <c r="K45" s="19">
        <v>0.14291899999999999</v>
      </c>
      <c r="L45" s="14">
        <v>2729331</v>
      </c>
      <c r="M45" s="14">
        <v>19325807</v>
      </c>
      <c r="N45" s="13" t="s">
        <v>138</v>
      </c>
      <c r="O45" s="18">
        <v>0.93459999999999999</v>
      </c>
      <c r="P45" s="18">
        <v>0.95552799999999993</v>
      </c>
    </row>
    <row r="46" spans="1:16" s="1" customFormat="1" ht="16" x14ac:dyDescent="0.2">
      <c r="A46" s="13" t="s">
        <v>141</v>
      </c>
      <c r="B46" s="13" t="s">
        <v>142</v>
      </c>
      <c r="C46" s="13" t="s">
        <v>118</v>
      </c>
      <c r="D46" s="13" t="s">
        <v>19</v>
      </c>
      <c r="E46" s="14">
        <v>65380242</v>
      </c>
      <c r="F46" s="14">
        <v>111733990</v>
      </c>
      <c r="G46" s="14">
        <v>1803654552</v>
      </c>
      <c r="H46" s="14">
        <v>2761610716</v>
      </c>
      <c r="I46" s="14">
        <v>4565265268</v>
      </c>
      <c r="J46" s="14">
        <v>165522114</v>
      </c>
      <c r="K46" s="19">
        <v>0.19522700000000001</v>
      </c>
      <c r="L46" s="14">
        <v>127304776</v>
      </c>
      <c r="M46" s="14">
        <v>1046945762</v>
      </c>
      <c r="N46" s="13" t="s">
        <v>141</v>
      </c>
      <c r="O46" s="18">
        <v>0.93459999999999999</v>
      </c>
      <c r="P46" s="18">
        <v>0.95552799999999993</v>
      </c>
    </row>
    <row r="47" spans="1:16" s="1" customFormat="1" ht="16" x14ac:dyDescent="0.2">
      <c r="A47" s="13" t="s">
        <v>143</v>
      </c>
      <c r="B47" s="13" t="s">
        <v>144</v>
      </c>
      <c r="C47" s="13" t="s">
        <v>64</v>
      </c>
      <c r="D47" s="13" t="s">
        <v>19</v>
      </c>
      <c r="E47" s="14">
        <v>20525726</v>
      </c>
      <c r="F47" s="14">
        <v>28080689</v>
      </c>
      <c r="G47" s="14">
        <v>947583464</v>
      </c>
      <c r="H47" s="14">
        <v>1852073040</v>
      </c>
      <c r="I47" s="14">
        <v>2799656504</v>
      </c>
      <c r="J47" s="14">
        <v>-5240692</v>
      </c>
      <c r="K47" s="19">
        <v>0.26724300000000001</v>
      </c>
      <c r="L47" s="14">
        <v>94196671</v>
      </c>
      <c r="M47" s="14">
        <v>478807140</v>
      </c>
      <c r="N47" s="13" t="s">
        <v>143</v>
      </c>
      <c r="O47" s="18">
        <v>0.90769999999999995</v>
      </c>
      <c r="P47" s="18">
        <v>0.93723599999999996</v>
      </c>
    </row>
    <row r="48" spans="1:16" s="1" customFormat="1" ht="16" x14ac:dyDescent="0.2">
      <c r="A48" s="13" t="s">
        <v>145</v>
      </c>
      <c r="B48" s="13" t="s">
        <v>146</v>
      </c>
      <c r="C48" s="13" t="s">
        <v>118</v>
      </c>
      <c r="D48" s="13" t="s">
        <v>19</v>
      </c>
      <c r="E48" s="14">
        <v>29329120</v>
      </c>
      <c r="F48" s="14">
        <v>37143144</v>
      </c>
      <c r="G48" s="14">
        <v>558718818</v>
      </c>
      <c r="H48" s="14">
        <v>671968880</v>
      </c>
      <c r="I48" s="14">
        <v>1230687698</v>
      </c>
      <c r="J48" s="14">
        <v>-1262924</v>
      </c>
      <c r="K48" s="19">
        <v>0.194911</v>
      </c>
      <c r="L48" s="14">
        <v>40982002</v>
      </c>
      <c r="M48" s="14">
        <v>330812000</v>
      </c>
      <c r="N48" s="13" t="s">
        <v>145</v>
      </c>
      <c r="O48" s="18">
        <v>0.93459999999999999</v>
      </c>
      <c r="P48" s="18">
        <v>0.95552799999999993</v>
      </c>
    </row>
    <row r="49" spans="1:16" s="1" customFormat="1" ht="16" x14ac:dyDescent="0.2">
      <c r="A49" s="13" t="s">
        <v>147</v>
      </c>
      <c r="B49" s="13" t="s">
        <v>148</v>
      </c>
      <c r="C49" s="13" t="s">
        <v>64</v>
      </c>
      <c r="D49" s="13" t="s">
        <v>19</v>
      </c>
      <c r="E49" s="14">
        <v>27919431</v>
      </c>
      <c r="F49" s="14">
        <v>59291566</v>
      </c>
      <c r="G49" s="14">
        <v>1239552957</v>
      </c>
      <c r="H49" s="14">
        <v>1333246070</v>
      </c>
      <c r="I49" s="14">
        <v>2572799027</v>
      </c>
      <c r="J49" s="14">
        <v>-24454761</v>
      </c>
      <c r="K49" s="19">
        <v>0.33391199999999999</v>
      </c>
      <c r="L49" s="14">
        <v>58310789</v>
      </c>
      <c r="M49" s="14">
        <v>322999640</v>
      </c>
      <c r="N49" s="13" t="s">
        <v>147</v>
      </c>
      <c r="O49" s="18">
        <v>0.90769999999999995</v>
      </c>
      <c r="P49" s="18">
        <v>0.93723599999999996</v>
      </c>
    </row>
    <row r="50" spans="1:16" s="1" customFormat="1" ht="16" x14ac:dyDescent="0.2">
      <c r="A50" s="13" t="s">
        <v>149</v>
      </c>
      <c r="B50" s="13" t="s">
        <v>150</v>
      </c>
      <c r="C50" s="13" t="s">
        <v>151</v>
      </c>
      <c r="D50" s="13" t="s">
        <v>19</v>
      </c>
      <c r="E50" s="14">
        <v>5096903</v>
      </c>
      <c r="F50" s="14">
        <v>12507612</v>
      </c>
      <c r="G50" s="14">
        <v>195822155</v>
      </c>
      <c r="H50" s="14">
        <v>556857042</v>
      </c>
      <c r="I50" s="14">
        <v>752679197</v>
      </c>
      <c r="J50" s="14">
        <v>272262</v>
      </c>
      <c r="K50" s="19">
        <v>0.242675</v>
      </c>
      <c r="L50" s="14">
        <v>23742642</v>
      </c>
      <c r="M50" s="14">
        <v>130453502</v>
      </c>
      <c r="N50" s="13" t="s">
        <v>149</v>
      </c>
      <c r="O50" s="18">
        <v>0.82589999999999997</v>
      </c>
      <c r="P50" s="18">
        <v>0.88161199999999995</v>
      </c>
    </row>
    <row r="51" spans="1:16" s="1" customFormat="1" ht="16" x14ac:dyDescent="0.2">
      <c r="A51" s="13" t="s">
        <v>152</v>
      </c>
      <c r="B51" s="13" t="s">
        <v>153</v>
      </c>
      <c r="C51" s="13" t="s">
        <v>154</v>
      </c>
      <c r="D51" s="13" t="s">
        <v>19</v>
      </c>
      <c r="E51" s="14">
        <v>3998377</v>
      </c>
      <c r="F51" s="14">
        <v>17892036</v>
      </c>
      <c r="G51" s="14">
        <v>65245309</v>
      </c>
      <c r="H51" s="14">
        <v>253807915</v>
      </c>
      <c r="I51" s="14">
        <v>319053224</v>
      </c>
      <c r="J51" s="14">
        <v>23699706</v>
      </c>
      <c r="K51" s="19">
        <v>0.30267899999999998</v>
      </c>
      <c r="L51" s="14">
        <v>10147034</v>
      </c>
      <c r="M51" s="14">
        <v>84157127</v>
      </c>
      <c r="N51" s="13" t="s">
        <v>152</v>
      </c>
      <c r="O51" s="18">
        <v>0.89700000000000002</v>
      </c>
      <c r="P51" s="18">
        <v>0.92996000000000001</v>
      </c>
    </row>
    <row r="52" spans="1:16" s="1" customFormat="1" ht="16" x14ac:dyDescent="0.2">
      <c r="A52" s="13" t="s">
        <v>155</v>
      </c>
      <c r="B52" s="13" t="s">
        <v>156</v>
      </c>
      <c r="C52" s="13" t="s">
        <v>157</v>
      </c>
      <c r="D52" s="13" t="s">
        <v>19</v>
      </c>
      <c r="E52" s="14">
        <v>1867768</v>
      </c>
      <c r="F52" s="14">
        <v>4993958</v>
      </c>
      <c r="G52" s="14">
        <v>38715888</v>
      </c>
      <c r="H52" s="14">
        <v>122824080</v>
      </c>
      <c r="I52" s="14">
        <v>161539968</v>
      </c>
      <c r="J52" s="14">
        <v>2197999</v>
      </c>
      <c r="K52" s="19">
        <v>0.27618999999999999</v>
      </c>
      <c r="L52" s="14">
        <v>3844470</v>
      </c>
      <c r="M52" s="14">
        <v>24884571</v>
      </c>
      <c r="N52" s="13" t="s">
        <v>155</v>
      </c>
      <c r="O52" s="18">
        <v>0.90769999999999995</v>
      </c>
      <c r="P52" s="18">
        <v>0.93723599999999996</v>
      </c>
    </row>
    <row r="53" spans="1:16" s="1" customFormat="1" ht="16" x14ac:dyDescent="0.2">
      <c r="A53" s="13" t="s">
        <v>158</v>
      </c>
      <c r="B53" s="13" t="s">
        <v>159</v>
      </c>
      <c r="C53" s="13" t="s">
        <v>160</v>
      </c>
      <c r="D53" s="13" t="s">
        <v>19</v>
      </c>
      <c r="E53" s="14">
        <v>9167472</v>
      </c>
      <c r="F53" s="14">
        <v>17970607</v>
      </c>
      <c r="G53" s="14">
        <v>528494226</v>
      </c>
      <c r="H53" s="14">
        <v>764066766</v>
      </c>
      <c r="I53" s="14">
        <v>1292560992</v>
      </c>
      <c r="J53" s="14">
        <v>886131</v>
      </c>
      <c r="K53" s="19">
        <v>0.197716</v>
      </c>
      <c r="L53" s="14">
        <v>24264270</v>
      </c>
      <c r="M53" s="14">
        <v>175122655</v>
      </c>
      <c r="N53" s="13" t="s">
        <v>158</v>
      </c>
      <c r="O53" s="18">
        <v>0.90769999999999995</v>
      </c>
      <c r="P53" s="18">
        <v>0.93723599999999996</v>
      </c>
    </row>
    <row r="57" spans="1:16" x14ac:dyDescent="0.2">
      <c r="K57">
        <f>AVERAGE(K2:K53)</f>
        <v>0.23538051923076919</v>
      </c>
    </row>
    <row r="64" spans="1:16" x14ac:dyDescent="0.2">
      <c r="K64" t="s">
        <v>161</v>
      </c>
    </row>
  </sheetData>
  <autoFilter ref="A1:P53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AA58-8EA4-8746-9112-292A9697EDCC}">
  <dimension ref="B1:L67"/>
  <sheetViews>
    <sheetView showGridLines="0" zoomScale="90" zoomScaleNormal="90" workbookViewId="0"/>
  </sheetViews>
  <sheetFormatPr baseColWidth="10" defaultColWidth="11.5" defaultRowHeight="15" x14ac:dyDescent="0.2"/>
  <cols>
    <col min="1" max="1" width="3.5" customWidth="1"/>
    <col min="2" max="2" width="27.6640625" bestFit="1" customWidth="1"/>
    <col min="3" max="3" width="34.83203125" customWidth="1"/>
    <col min="4" max="4" width="26.6640625" customWidth="1"/>
    <col min="5" max="5" width="15.5" customWidth="1"/>
    <col min="6" max="6" width="2.5" hidden="1" customWidth="1"/>
    <col min="7" max="7" width="15.6640625" bestFit="1" customWidth="1"/>
    <col min="8" max="8" width="113.1640625" bestFit="1" customWidth="1"/>
    <col min="9" max="9" width="15.83203125" bestFit="1" customWidth="1"/>
    <col min="10" max="10" width="29.83203125" bestFit="1" customWidth="1"/>
    <col min="11" max="11" width="27.5" bestFit="1" customWidth="1"/>
    <col min="12" max="12" width="29.6640625" bestFit="1" customWidth="1"/>
  </cols>
  <sheetData>
    <row r="1" spans="2:12" ht="16" thickBot="1" x14ac:dyDescent="0.25"/>
    <row r="2" spans="2:12" s="92" customFormat="1" ht="31" customHeight="1" x14ac:dyDescent="0.2">
      <c r="B2" s="93" t="s">
        <v>363</v>
      </c>
      <c r="C2" s="94" t="s">
        <v>364</v>
      </c>
      <c r="D2" s="94" t="s">
        <v>365</v>
      </c>
      <c r="E2" s="94" t="s">
        <v>366</v>
      </c>
      <c r="F2" s="94" t="s">
        <v>367</v>
      </c>
      <c r="G2" s="94" t="s">
        <v>368</v>
      </c>
      <c r="H2" s="94" t="s">
        <v>369</v>
      </c>
      <c r="I2" s="94" t="s">
        <v>370</v>
      </c>
      <c r="J2" s="94" t="s">
        <v>371</v>
      </c>
      <c r="K2" s="94" t="s">
        <v>372</v>
      </c>
      <c r="L2" s="95" t="s">
        <v>373</v>
      </c>
    </row>
    <row r="3" spans="2:12" ht="16" x14ac:dyDescent="0.2">
      <c r="B3" s="96">
        <v>360134</v>
      </c>
      <c r="C3" s="20" t="s">
        <v>374</v>
      </c>
      <c r="D3" s="20" t="s">
        <v>375</v>
      </c>
      <c r="E3" s="29" t="s">
        <v>19</v>
      </c>
      <c r="F3" s="97" t="s">
        <v>182</v>
      </c>
      <c r="G3" s="97" t="str">
        <f>TRIM(F3)</f>
        <v>023</v>
      </c>
      <c r="H3" s="29" t="s">
        <v>376</v>
      </c>
      <c r="I3" s="29">
        <v>14</v>
      </c>
      <c r="J3" s="30">
        <v>141446.64285999999</v>
      </c>
      <c r="K3" s="30">
        <v>60670.214286000002</v>
      </c>
      <c r="L3" s="55">
        <v>31204</v>
      </c>
    </row>
    <row r="4" spans="2:12" ht="16" x14ac:dyDescent="0.2">
      <c r="B4" s="96">
        <v>360134</v>
      </c>
      <c r="C4" s="20" t="s">
        <v>374</v>
      </c>
      <c r="D4" s="20" t="s">
        <v>375</v>
      </c>
      <c r="E4" s="29" t="s">
        <v>19</v>
      </c>
      <c r="F4" s="97" t="s">
        <v>183</v>
      </c>
      <c r="G4" s="97" t="str">
        <f t="shared" ref="G4:G67" si="0">TRIM(F4)</f>
        <v>025</v>
      </c>
      <c r="H4" s="29" t="s">
        <v>269</v>
      </c>
      <c r="I4" s="29">
        <v>23</v>
      </c>
      <c r="J4" s="30">
        <v>101374.43478</v>
      </c>
      <c r="K4" s="30">
        <v>41018.521739000003</v>
      </c>
      <c r="L4" s="55">
        <v>26919.521739</v>
      </c>
    </row>
    <row r="5" spans="2:12" ht="16" x14ac:dyDescent="0.2">
      <c r="B5" s="96">
        <v>360134</v>
      </c>
      <c r="C5" s="20" t="s">
        <v>374</v>
      </c>
      <c r="D5" s="20" t="s">
        <v>375</v>
      </c>
      <c r="E5" s="29" t="s">
        <v>19</v>
      </c>
      <c r="F5" s="97" t="s">
        <v>238</v>
      </c>
      <c r="G5" s="97" t="str">
        <f t="shared" si="0"/>
        <v>027</v>
      </c>
      <c r="H5" s="29" t="s">
        <v>270</v>
      </c>
      <c r="I5" s="29">
        <v>15</v>
      </c>
      <c r="J5" s="30">
        <v>91108.4</v>
      </c>
      <c r="K5" s="30">
        <v>23813.733333</v>
      </c>
      <c r="L5" s="55">
        <v>13990.266667</v>
      </c>
    </row>
    <row r="6" spans="2:12" ht="16" x14ac:dyDescent="0.2">
      <c r="B6" s="96">
        <v>360134</v>
      </c>
      <c r="C6" s="20" t="s">
        <v>374</v>
      </c>
      <c r="D6" s="20" t="s">
        <v>375</v>
      </c>
      <c r="E6" s="29" t="s">
        <v>19</v>
      </c>
      <c r="F6" s="97" t="s">
        <v>204</v>
      </c>
      <c r="G6" s="97" t="str">
        <f t="shared" si="0"/>
        <v>057</v>
      </c>
      <c r="H6" s="29" t="s">
        <v>272</v>
      </c>
      <c r="I6" s="29">
        <v>14</v>
      </c>
      <c r="J6" s="30">
        <v>25478.642856999999</v>
      </c>
      <c r="K6" s="30">
        <v>12673.071429</v>
      </c>
      <c r="L6" s="55">
        <v>8852.0714286000002</v>
      </c>
    </row>
    <row r="7" spans="2:12" ht="16" x14ac:dyDescent="0.2">
      <c r="B7" s="96">
        <v>360134</v>
      </c>
      <c r="C7" s="20" t="s">
        <v>374</v>
      </c>
      <c r="D7" s="20" t="s">
        <v>375</v>
      </c>
      <c r="E7" s="29" t="s">
        <v>19</v>
      </c>
      <c r="F7" s="97" t="s">
        <v>192</v>
      </c>
      <c r="G7" s="97" t="str">
        <f t="shared" si="0"/>
        <v>064</v>
      </c>
      <c r="H7" s="29" t="s">
        <v>273</v>
      </c>
      <c r="I7" s="29">
        <v>67</v>
      </c>
      <c r="J7" s="30">
        <v>59645.328357999999</v>
      </c>
      <c r="K7" s="30">
        <v>19133</v>
      </c>
      <c r="L7" s="55">
        <v>13206.567164</v>
      </c>
    </row>
    <row r="8" spans="2:12" ht="16" x14ac:dyDescent="0.2">
      <c r="B8" s="96">
        <v>360134</v>
      </c>
      <c r="C8" s="20" t="s">
        <v>374</v>
      </c>
      <c r="D8" s="20" t="s">
        <v>375</v>
      </c>
      <c r="E8" s="29" t="s">
        <v>19</v>
      </c>
      <c r="F8" s="97" t="s">
        <v>221</v>
      </c>
      <c r="G8" s="97" t="str">
        <f t="shared" si="0"/>
        <v>065</v>
      </c>
      <c r="H8" s="29" t="s">
        <v>274</v>
      </c>
      <c r="I8" s="29">
        <v>52</v>
      </c>
      <c r="J8" s="30">
        <v>33174.980769000002</v>
      </c>
      <c r="K8" s="30">
        <v>9787.0961537999992</v>
      </c>
      <c r="L8" s="55">
        <v>6578.0961538000001</v>
      </c>
    </row>
    <row r="9" spans="2:12" ht="16" x14ac:dyDescent="0.2">
      <c r="B9" s="96">
        <v>360134</v>
      </c>
      <c r="C9" s="20" t="s">
        <v>374</v>
      </c>
      <c r="D9" s="20" t="s">
        <v>375</v>
      </c>
      <c r="E9" s="29" t="s">
        <v>19</v>
      </c>
      <c r="F9" s="97" t="s">
        <v>237</v>
      </c>
      <c r="G9" s="97" t="str">
        <f t="shared" si="0"/>
        <v>069</v>
      </c>
      <c r="H9" s="29" t="s">
        <v>275</v>
      </c>
      <c r="I9" s="29">
        <v>11</v>
      </c>
      <c r="J9" s="30">
        <v>19884.545454999999</v>
      </c>
      <c r="K9" s="30">
        <v>7491</v>
      </c>
      <c r="L9" s="55">
        <v>5214.3636364000004</v>
      </c>
    </row>
    <row r="10" spans="2:12" ht="16" x14ac:dyDescent="0.2">
      <c r="B10" s="96">
        <v>360134</v>
      </c>
      <c r="C10" s="20" t="s">
        <v>374</v>
      </c>
      <c r="D10" s="20" t="s">
        <v>375</v>
      </c>
      <c r="E10" s="29" t="s">
        <v>19</v>
      </c>
      <c r="F10" s="97" t="s">
        <v>190</v>
      </c>
      <c r="G10" s="97" t="str">
        <f t="shared" si="0"/>
        <v>070</v>
      </c>
      <c r="H10" s="29" t="s">
        <v>276</v>
      </c>
      <c r="I10" s="29">
        <v>18</v>
      </c>
      <c r="J10" s="30">
        <v>46881.444444000001</v>
      </c>
      <c r="K10" s="30">
        <v>16523.888889000002</v>
      </c>
      <c r="L10" s="55">
        <v>10793.222222</v>
      </c>
    </row>
    <row r="11" spans="2:12" ht="16" x14ac:dyDescent="0.2">
      <c r="B11" s="96">
        <v>360134</v>
      </c>
      <c r="C11" s="20" t="s">
        <v>374</v>
      </c>
      <c r="D11" s="20" t="s">
        <v>375</v>
      </c>
      <c r="E11" s="29" t="s">
        <v>19</v>
      </c>
      <c r="F11" s="97" t="s">
        <v>214</v>
      </c>
      <c r="G11" s="97" t="str">
        <f t="shared" si="0"/>
        <v>071</v>
      </c>
      <c r="H11" s="29" t="s">
        <v>277</v>
      </c>
      <c r="I11" s="29">
        <v>20</v>
      </c>
      <c r="J11" s="30">
        <v>25571.3</v>
      </c>
      <c r="K11" s="30">
        <v>10019.299999999999</v>
      </c>
      <c r="L11" s="55">
        <v>7711.45</v>
      </c>
    </row>
    <row r="12" spans="2:12" ht="16" x14ac:dyDescent="0.2">
      <c r="B12" s="96">
        <v>360134</v>
      </c>
      <c r="C12" s="20" t="s">
        <v>374</v>
      </c>
      <c r="D12" s="20" t="s">
        <v>375</v>
      </c>
      <c r="E12" s="29" t="s">
        <v>19</v>
      </c>
      <c r="F12" s="29">
        <v>100</v>
      </c>
      <c r="G12" s="97" t="str">
        <f t="shared" si="0"/>
        <v>100</v>
      </c>
      <c r="H12" s="29" t="s">
        <v>278</v>
      </c>
      <c r="I12" s="29">
        <v>19</v>
      </c>
      <c r="J12" s="30">
        <v>66672.368421000006</v>
      </c>
      <c r="K12" s="30">
        <v>15859.210526000001</v>
      </c>
      <c r="L12" s="55">
        <v>11291.526315999999</v>
      </c>
    </row>
    <row r="13" spans="2:12" ht="16" x14ac:dyDescent="0.2">
      <c r="B13" s="96">
        <v>360134</v>
      </c>
      <c r="C13" s="20" t="s">
        <v>374</v>
      </c>
      <c r="D13" s="20" t="s">
        <v>375</v>
      </c>
      <c r="E13" s="29" t="s">
        <v>19</v>
      </c>
      <c r="F13" s="29">
        <v>101</v>
      </c>
      <c r="G13" s="97" t="str">
        <f t="shared" si="0"/>
        <v>101</v>
      </c>
      <c r="H13" s="29" t="s">
        <v>279</v>
      </c>
      <c r="I13" s="29">
        <v>14</v>
      </c>
      <c r="J13" s="30">
        <v>34589.071429000003</v>
      </c>
      <c r="K13" s="30">
        <v>9322.7142856999999</v>
      </c>
      <c r="L13" s="55">
        <v>6042.2142856999999</v>
      </c>
    </row>
    <row r="14" spans="2:12" ht="16" x14ac:dyDescent="0.2">
      <c r="B14" s="96">
        <v>360134</v>
      </c>
      <c r="C14" s="20" t="s">
        <v>374</v>
      </c>
      <c r="D14" s="20" t="s">
        <v>375</v>
      </c>
      <c r="E14" s="29" t="s">
        <v>19</v>
      </c>
      <c r="F14" s="29">
        <v>175</v>
      </c>
      <c r="G14" s="97" t="str">
        <f t="shared" si="0"/>
        <v>175</v>
      </c>
      <c r="H14" s="29" t="s">
        <v>282</v>
      </c>
      <c r="I14" s="29">
        <v>16</v>
      </c>
      <c r="J14" s="30">
        <v>41438.125</v>
      </c>
      <c r="K14" s="30">
        <v>13423</v>
      </c>
      <c r="L14" s="55">
        <v>9179.6875</v>
      </c>
    </row>
    <row r="15" spans="2:12" ht="16" x14ac:dyDescent="0.2">
      <c r="B15" s="96">
        <v>360134</v>
      </c>
      <c r="C15" s="20" t="s">
        <v>374</v>
      </c>
      <c r="D15" s="20" t="s">
        <v>375</v>
      </c>
      <c r="E15" s="29" t="s">
        <v>19</v>
      </c>
      <c r="F15" s="29">
        <v>177</v>
      </c>
      <c r="G15" s="97" t="str">
        <f t="shared" si="0"/>
        <v>177</v>
      </c>
      <c r="H15" s="29" t="s">
        <v>283</v>
      </c>
      <c r="I15" s="29">
        <v>57</v>
      </c>
      <c r="J15" s="30">
        <v>35904.596490999997</v>
      </c>
      <c r="K15" s="30">
        <v>16065.754386000001</v>
      </c>
      <c r="L15" s="55">
        <v>12774.263158</v>
      </c>
    </row>
    <row r="16" spans="2:12" ht="16" x14ac:dyDescent="0.2">
      <c r="B16" s="96">
        <v>360134</v>
      </c>
      <c r="C16" s="20" t="s">
        <v>374</v>
      </c>
      <c r="D16" s="20" t="s">
        <v>375</v>
      </c>
      <c r="E16" s="29" t="s">
        <v>19</v>
      </c>
      <c r="F16" s="29">
        <v>178</v>
      </c>
      <c r="G16" s="97" t="str">
        <f t="shared" si="0"/>
        <v>178</v>
      </c>
      <c r="H16" s="29" t="s">
        <v>284</v>
      </c>
      <c r="I16" s="29">
        <v>11</v>
      </c>
      <c r="J16" s="30">
        <v>23015</v>
      </c>
      <c r="K16" s="30">
        <v>10523.636364</v>
      </c>
      <c r="L16" s="55">
        <v>7913.3636364000004</v>
      </c>
    </row>
    <row r="17" spans="2:12" ht="16" x14ac:dyDescent="0.2">
      <c r="B17" s="96">
        <v>360134</v>
      </c>
      <c r="C17" s="20" t="s">
        <v>374</v>
      </c>
      <c r="D17" s="20" t="s">
        <v>375</v>
      </c>
      <c r="E17" s="29" t="s">
        <v>19</v>
      </c>
      <c r="F17" s="29">
        <v>189</v>
      </c>
      <c r="G17" s="97" t="str">
        <f t="shared" si="0"/>
        <v>189</v>
      </c>
      <c r="H17" s="29" t="s">
        <v>285</v>
      </c>
      <c r="I17" s="29">
        <v>60</v>
      </c>
      <c r="J17" s="30">
        <v>34908.65</v>
      </c>
      <c r="K17" s="30">
        <v>11457.4</v>
      </c>
      <c r="L17" s="55">
        <v>8740.8833333000002</v>
      </c>
    </row>
    <row r="18" spans="2:12" ht="16" x14ac:dyDescent="0.2">
      <c r="B18" s="96">
        <v>360134</v>
      </c>
      <c r="C18" s="20" t="s">
        <v>374</v>
      </c>
      <c r="D18" s="20" t="s">
        <v>375</v>
      </c>
      <c r="E18" s="29" t="s">
        <v>19</v>
      </c>
      <c r="F18" s="29">
        <v>193</v>
      </c>
      <c r="G18" s="97" t="str">
        <f t="shared" si="0"/>
        <v>193</v>
      </c>
      <c r="H18" s="29" t="s">
        <v>286</v>
      </c>
      <c r="I18" s="29">
        <v>39</v>
      </c>
      <c r="J18" s="30">
        <v>36581.897435999999</v>
      </c>
      <c r="K18" s="30">
        <v>12335.512821</v>
      </c>
      <c r="L18" s="55">
        <v>8602.7948718000007</v>
      </c>
    </row>
    <row r="19" spans="2:12" ht="16" x14ac:dyDescent="0.2">
      <c r="B19" s="96">
        <v>360134</v>
      </c>
      <c r="C19" s="20" t="s">
        <v>374</v>
      </c>
      <c r="D19" s="20" t="s">
        <v>375</v>
      </c>
      <c r="E19" s="29" t="s">
        <v>19</v>
      </c>
      <c r="F19" s="29">
        <v>208</v>
      </c>
      <c r="G19" s="97" t="str">
        <f t="shared" si="0"/>
        <v>208</v>
      </c>
      <c r="H19" s="29" t="s">
        <v>287</v>
      </c>
      <c r="I19" s="29">
        <v>17</v>
      </c>
      <c r="J19" s="30">
        <v>76699.352941000005</v>
      </c>
      <c r="K19" s="30">
        <v>22614.588234999999</v>
      </c>
      <c r="L19" s="55">
        <v>16981.411765000001</v>
      </c>
    </row>
    <row r="20" spans="2:12" ht="16" x14ac:dyDescent="0.2">
      <c r="B20" s="96">
        <v>360134</v>
      </c>
      <c r="C20" s="20" t="s">
        <v>374</v>
      </c>
      <c r="D20" s="20" t="s">
        <v>375</v>
      </c>
      <c r="E20" s="29" t="s">
        <v>19</v>
      </c>
      <c r="F20" s="29">
        <v>246</v>
      </c>
      <c r="G20" s="97" t="str">
        <f t="shared" si="0"/>
        <v>246</v>
      </c>
      <c r="H20" s="29" t="s">
        <v>377</v>
      </c>
      <c r="I20" s="29">
        <v>15</v>
      </c>
      <c r="J20" s="30">
        <v>88044.2</v>
      </c>
      <c r="K20" s="30">
        <v>26070.066666999999</v>
      </c>
      <c r="L20" s="55">
        <v>20444.866666999998</v>
      </c>
    </row>
    <row r="21" spans="2:12" ht="16" x14ac:dyDescent="0.2">
      <c r="B21" s="96">
        <v>360134</v>
      </c>
      <c r="C21" s="20" t="s">
        <v>374</v>
      </c>
      <c r="D21" s="20" t="s">
        <v>375</v>
      </c>
      <c r="E21" s="29" t="s">
        <v>19</v>
      </c>
      <c r="F21" s="29">
        <v>247</v>
      </c>
      <c r="G21" s="97" t="str">
        <f t="shared" si="0"/>
        <v>247</v>
      </c>
      <c r="H21" s="29" t="s">
        <v>291</v>
      </c>
      <c r="I21" s="29">
        <v>15</v>
      </c>
      <c r="J21" s="30">
        <v>76441.2</v>
      </c>
      <c r="K21" s="30">
        <v>18071.933333000001</v>
      </c>
      <c r="L21" s="55">
        <v>11576.2</v>
      </c>
    </row>
    <row r="22" spans="2:12" ht="16" x14ac:dyDescent="0.2">
      <c r="B22" s="96">
        <v>360134</v>
      </c>
      <c r="C22" s="20" t="s">
        <v>374</v>
      </c>
      <c r="D22" s="20" t="s">
        <v>375</v>
      </c>
      <c r="E22" s="29" t="s">
        <v>19</v>
      </c>
      <c r="F22" s="29">
        <v>269</v>
      </c>
      <c r="G22" s="97" t="str">
        <f t="shared" si="0"/>
        <v>269</v>
      </c>
      <c r="H22" s="29" t="s">
        <v>292</v>
      </c>
      <c r="I22" s="29">
        <v>12</v>
      </c>
      <c r="J22" s="30">
        <v>117925</v>
      </c>
      <c r="K22" s="30">
        <v>32932.833333000002</v>
      </c>
      <c r="L22" s="55">
        <v>30939.916667000001</v>
      </c>
    </row>
    <row r="23" spans="2:12" ht="16" x14ac:dyDescent="0.2">
      <c r="B23" s="96">
        <v>360134</v>
      </c>
      <c r="C23" s="20" t="s">
        <v>374</v>
      </c>
      <c r="D23" s="20" t="s">
        <v>375</v>
      </c>
      <c r="E23" s="29" t="s">
        <v>19</v>
      </c>
      <c r="F23" s="29">
        <v>280</v>
      </c>
      <c r="G23" s="97" t="str">
        <f t="shared" si="0"/>
        <v>280</v>
      </c>
      <c r="H23" s="29" t="s">
        <v>293</v>
      </c>
      <c r="I23" s="29">
        <v>46</v>
      </c>
      <c r="J23" s="30">
        <v>41971.521739000003</v>
      </c>
      <c r="K23" s="30">
        <v>14275.652174000001</v>
      </c>
      <c r="L23" s="55">
        <v>10185.76087</v>
      </c>
    </row>
    <row r="24" spans="2:12" ht="16" x14ac:dyDescent="0.2">
      <c r="B24" s="96">
        <v>360134</v>
      </c>
      <c r="C24" s="20" t="s">
        <v>374</v>
      </c>
      <c r="D24" s="20" t="s">
        <v>375</v>
      </c>
      <c r="E24" s="29" t="s">
        <v>19</v>
      </c>
      <c r="F24" s="29">
        <v>281</v>
      </c>
      <c r="G24" s="97" t="str">
        <f t="shared" si="0"/>
        <v>281</v>
      </c>
      <c r="H24" s="29" t="s">
        <v>294</v>
      </c>
      <c r="I24" s="29">
        <v>13</v>
      </c>
      <c r="J24" s="30">
        <v>28640.769230999998</v>
      </c>
      <c r="K24" s="30">
        <v>8778.2307691999995</v>
      </c>
      <c r="L24" s="55">
        <v>5689.8461538000001</v>
      </c>
    </row>
    <row r="25" spans="2:12" ht="16" x14ac:dyDescent="0.2">
      <c r="B25" s="96">
        <v>360134</v>
      </c>
      <c r="C25" s="20" t="s">
        <v>374</v>
      </c>
      <c r="D25" s="20" t="s">
        <v>375</v>
      </c>
      <c r="E25" s="29" t="s">
        <v>19</v>
      </c>
      <c r="F25" s="29">
        <v>286</v>
      </c>
      <c r="G25" s="97" t="str">
        <f t="shared" si="0"/>
        <v>286</v>
      </c>
      <c r="H25" s="29" t="s">
        <v>295</v>
      </c>
      <c r="I25" s="29">
        <v>13</v>
      </c>
      <c r="J25" s="30">
        <v>65028.230769000002</v>
      </c>
      <c r="K25" s="30">
        <v>18688</v>
      </c>
      <c r="L25" s="55">
        <v>15288.307692</v>
      </c>
    </row>
    <row r="26" spans="2:12" ht="16" x14ac:dyDescent="0.2">
      <c r="B26" s="96">
        <v>360134</v>
      </c>
      <c r="C26" s="20" t="s">
        <v>374</v>
      </c>
      <c r="D26" s="20" t="s">
        <v>375</v>
      </c>
      <c r="E26" s="29" t="s">
        <v>19</v>
      </c>
      <c r="F26" s="29">
        <v>287</v>
      </c>
      <c r="G26" s="97" t="str">
        <f t="shared" si="0"/>
        <v>287</v>
      </c>
      <c r="H26" s="29" t="s">
        <v>296</v>
      </c>
      <c r="I26" s="29">
        <v>19</v>
      </c>
      <c r="J26" s="30">
        <v>41651</v>
      </c>
      <c r="K26" s="30">
        <v>11068.947367999999</v>
      </c>
      <c r="L26" s="55">
        <v>6359.4210525999997</v>
      </c>
    </row>
    <row r="27" spans="2:12" ht="16" x14ac:dyDescent="0.2">
      <c r="B27" s="96">
        <v>360134</v>
      </c>
      <c r="C27" s="20" t="s">
        <v>374</v>
      </c>
      <c r="D27" s="20" t="s">
        <v>375</v>
      </c>
      <c r="E27" s="29" t="s">
        <v>19</v>
      </c>
      <c r="F27" s="29">
        <v>291</v>
      </c>
      <c r="G27" s="97" t="str">
        <f t="shared" si="0"/>
        <v>291</v>
      </c>
      <c r="H27" s="29" t="s">
        <v>297</v>
      </c>
      <c r="I27" s="29">
        <v>120</v>
      </c>
      <c r="J27" s="30">
        <v>31851.583332999999</v>
      </c>
      <c r="K27" s="30">
        <v>11700.366667</v>
      </c>
      <c r="L27" s="55">
        <v>8750.0166666999994</v>
      </c>
    </row>
    <row r="28" spans="2:12" ht="16" x14ac:dyDescent="0.2">
      <c r="B28" s="96">
        <v>360134</v>
      </c>
      <c r="C28" s="20" t="s">
        <v>374</v>
      </c>
      <c r="D28" s="20" t="s">
        <v>375</v>
      </c>
      <c r="E28" s="29" t="s">
        <v>19</v>
      </c>
      <c r="F28" s="29">
        <v>308</v>
      </c>
      <c r="G28" s="97" t="str">
        <f t="shared" si="0"/>
        <v>308</v>
      </c>
      <c r="H28" s="29" t="s">
        <v>298</v>
      </c>
      <c r="I28" s="29">
        <v>17</v>
      </c>
      <c r="J28" s="30">
        <v>46872.823529000001</v>
      </c>
      <c r="K28" s="30">
        <v>11684.352940999999</v>
      </c>
      <c r="L28" s="55">
        <v>8741.1764705999994</v>
      </c>
    </row>
    <row r="29" spans="2:12" ht="16" x14ac:dyDescent="0.2">
      <c r="B29" s="96">
        <v>360134</v>
      </c>
      <c r="C29" s="20" t="s">
        <v>374</v>
      </c>
      <c r="D29" s="20" t="s">
        <v>375</v>
      </c>
      <c r="E29" s="29" t="s">
        <v>19</v>
      </c>
      <c r="F29" s="29">
        <v>309</v>
      </c>
      <c r="G29" s="97" t="str">
        <f t="shared" si="0"/>
        <v>309</v>
      </c>
      <c r="H29" s="29" t="s">
        <v>299</v>
      </c>
      <c r="I29" s="29">
        <v>27</v>
      </c>
      <c r="J29" s="30">
        <v>21605.740741000001</v>
      </c>
      <c r="K29" s="30">
        <v>7451.1111111</v>
      </c>
      <c r="L29" s="55">
        <v>4442.3333333</v>
      </c>
    </row>
    <row r="30" spans="2:12" ht="16" x14ac:dyDescent="0.2">
      <c r="B30" s="96">
        <v>360134</v>
      </c>
      <c r="C30" s="20" t="s">
        <v>374</v>
      </c>
      <c r="D30" s="20" t="s">
        <v>375</v>
      </c>
      <c r="E30" s="29" t="s">
        <v>19</v>
      </c>
      <c r="F30" s="29">
        <v>312</v>
      </c>
      <c r="G30" s="97" t="str">
        <f t="shared" si="0"/>
        <v>312</v>
      </c>
      <c r="H30" s="29" t="s">
        <v>300</v>
      </c>
      <c r="I30" s="29">
        <v>29</v>
      </c>
      <c r="J30" s="30">
        <v>21874.206897</v>
      </c>
      <c r="K30" s="30">
        <v>8085.1724138</v>
      </c>
      <c r="L30" s="55">
        <v>6083.4137930999996</v>
      </c>
    </row>
    <row r="31" spans="2:12" ht="16" x14ac:dyDescent="0.2">
      <c r="B31" s="96">
        <v>360134</v>
      </c>
      <c r="C31" s="20" t="s">
        <v>374</v>
      </c>
      <c r="D31" s="20" t="s">
        <v>375</v>
      </c>
      <c r="E31" s="29" t="s">
        <v>19</v>
      </c>
      <c r="F31" s="29">
        <v>329</v>
      </c>
      <c r="G31" s="97" t="str">
        <f t="shared" si="0"/>
        <v>329</v>
      </c>
      <c r="H31" s="29" t="s">
        <v>303</v>
      </c>
      <c r="I31" s="29">
        <v>17</v>
      </c>
      <c r="J31" s="30">
        <v>92310.882352999994</v>
      </c>
      <c r="K31" s="30">
        <v>39090.647059000003</v>
      </c>
      <c r="L31" s="55">
        <v>30538.705881999998</v>
      </c>
    </row>
    <row r="32" spans="2:12" ht="16" x14ac:dyDescent="0.2">
      <c r="B32" s="96">
        <v>360134</v>
      </c>
      <c r="C32" s="20" t="s">
        <v>374</v>
      </c>
      <c r="D32" s="20" t="s">
        <v>375</v>
      </c>
      <c r="E32" s="29" t="s">
        <v>19</v>
      </c>
      <c r="F32" s="29">
        <v>330</v>
      </c>
      <c r="G32" s="97" t="str">
        <f t="shared" si="0"/>
        <v>330</v>
      </c>
      <c r="H32" s="29" t="s">
        <v>304</v>
      </c>
      <c r="I32" s="29">
        <v>26</v>
      </c>
      <c r="J32" s="30">
        <v>65590.461538000003</v>
      </c>
      <c r="K32" s="30">
        <v>22704.653846000001</v>
      </c>
      <c r="L32" s="55">
        <v>13687.076923000001</v>
      </c>
    </row>
    <row r="33" spans="2:12" ht="16" x14ac:dyDescent="0.2">
      <c r="B33" s="96">
        <v>360134</v>
      </c>
      <c r="C33" s="20" t="s">
        <v>374</v>
      </c>
      <c r="D33" s="20" t="s">
        <v>375</v>
      </c>
      <c r="E33" s="29" t="s">
        <v>19</v>
      </c>
      <c r="F33" s="29">
        <v>377</v>
      </c>
      <c r="G33" s="97" t="str">
        <f t="shared" si="0"/>
        <v>377</v>
      </c>
      <c r="H33" s="29" t="s">
        <v>305</v>
      </c>
      <c r="I33" s="29">
        <v>17</v>
      </c>
      <c r="J33" s="30">
        <v>55879.294117999998</v>
      </c>
      <c r="K33" s="30">
        <v>16265.647059000001</v>
      </c>
      <c r="L33" s="55">
        <v>12608.705882</v>
      </c>
    </row>
    <row r="34" spans="2:12" ht="16" x14ac:dyDescent="0.2">
      <c r="B34" s="96">
        <v>360134</v>
      </c>
      <c r="C34" s="20" t="s">
        <v>374</v>
      </c>
      <c r="D34" s="20" t="s">
        <v>375</v>
      </c>
      <c r="E34" s="29" t="s">
        <v>19</v>
      </c>
      <c r="F34" s="29">
        <v>378</v>
      </c>
      <c r="G34" s="97" t="str">
        <f t="shared" si="0"/>
        <v>378</v>
      </c>
      <c r="H34" s="29" t="s">
        <v>306</v>
      </c>
      <c r="I34" s="29">
        <v>50</v>
      </c>
      <c r="J34" s="30">
        <v>25567.02</v>
      </c>
      <c r="K34" s="30">
        <v>9521.86</v>
      </c>
      <c r="L34" s="55">
        <v>6280.08</v>
      </c>
    </row>
    <row r="35" spans="2:12" ht="16" x14ac:dyDescent="0.2">
      <c r="B35" s="96">
        <v>360134</v>
      </c>
      <c r="C35" s="20" t="s">
        <v>374</v>
      </c>
      <c r="D35" s="20" t="s">
        <v>375</v>
      </c>
      <c r="E35" s="29" t="s">
        <v>19</v>
      </c>
      <c r="F35" s="29">
        <v>388</v>
      </c>
      <c r="G35" s="97" t="str">
        <f t="shared" si="0"/>
        <v>388</v>
      </c>
      <c r="H35" s="29" t="s">
        <v>307</v>
      </c>
      <c r="I35" s="29">
        <v>14</v>
      </c>
      <c r="J35" s="30">
        <v>22607.428571</v>
      </c>
      <c r="K35" s="30">
        <v>12925.642857000001</v>
      </c>
      <c r="L35" s="55">
        <v>10620.928571</v>
      </c>
    </row>
    <row r="36" spans="2:12" ht="16" x14ac:dyDescent="0.2">
      <c r="B36" s="96">
        <v>360134</v>
      </c>
      <c r="C36" s="20" t="s">
        <v>374</v>
      </c>
      <c r="D36" s="20" t="s">
        <v>375</v>
      </c>
      <c r="E36" s="29" t="s">
        <v>19</v>
      </c>
      <c r="F36" s="29">
        <v>389</v>
      </c>
      <c r="G36" s="97" t="str">
        <f t="shared" si="0"/>
        <v>389</v>
      </c>
      <c r="H36" s="29" t="s">
        <v>308</v>
      </c>
      <c r="I36" s="29">
        <v>17</v>
      </c>
      <c r="J36" s="30">
        <v>13494.823528999999</v>
      </c>
      <c r="K36" s="30">
        <v>8137.1764706000004</v>
      </c>
      <c r="L36" s="55">
        <v>5645.0588234999996</v>
      </c>
    </row>
    <row r="37" spans="2:12" ht="16" x14ac:dyDescent="0.2">
      <c r="B37" s="96">
        <v>360134</v>
      </c>
      <c r="C37" s="20" t="s">
        <v>374</v>
      </c>
      <c r="D37" s="20" t="s">
        <v>375</v>
      </c>
      <c r="E37" s="29" t="s">
        <v>19</v>
      </c>
      <c r="F37" s="29">
        <v>390</v>
      </c>
      <c r="G37" s="97" t="str">
        <f t="shared" si="0"/>
        <v>390</v>
      </c>
      <c r="H37" s="29" t="s">
        <v>309</v>
      </c>
      <c r="I37" s="29">
        <v>12</v>
      </c>
      <c r="J37" s="30">
        <v>11423.833333</v>
      </c>
      <c r="K37" s="30">
        <v>6281.8333333</v>
      </c>
      <c r="L37" s="55">
        <v>3900.4166667</v>
      </c>
    </row>
    <row r="38" spans="2:12" ht="16" x14ac:dyDescent="0.2">
      <c r="B38" s="96">
        <v>360134</v>
      </c>
      <c r="C38" s="20" t="s">
        <v>374</v>
      </c>
      <c r="D38" s="20" t="s">
        <v>375</v>
      </c>
      <c r="E38" s="29" t="s">
        <v>19</v>
      </c>
      <c r="F38" s="29">
        <v>392</v>
      </c>
      <c r="G38" s="97" t="str">
        <f t="shared" si="0"/>
        <v>392</v>
      </c>
      <c r="H38" s="29" t="s">
        <v>310</v>
      </c>
      <c r="I38" s="29">
        <v>33</v>
      </c>
      <c r="J38" s="30">
        <v>18738</v>
      </c>
      <c r="K38" s="30">
        <v>7978.4242424000004</v>
      </c>
      <c r="L38" s="55">
        <v>5075.5151514999998</v>
      </c>
    </row>
    <row r="39" spans="2:12" ht="16" x14ac:dyDescent="0.2">
      <c r="B39" s="96">
        <v>360134</v>
      </c>
      <c r="C39" s="20" t="s">
        <v>374</v>
      </c>
      <c r="D39" s="20" t="s">
        <v>375</v>
      </c>
      <c r="E39" s="29" t="s">
        <v>19</v>
      </c>
      <c r="F39" s="29">
        <v>394</v>
      </c>
      <c r="G39" s="97" t="str">
        <f t="shared" si="0"/>
        <v>394</v>
      </c>
      <c r="H39" s="29" t="s">
        <v>311</v>
      </c>
      <c r="I39" s="29">
        <v>12</v>
      </c>
      <c r="J39" s="30">
        <v>24837.333332999999</v>
      </c>
      <c r="K39" s="30">
        <v>8948.1666667000009</v>
      </c>
      <c r="L39" s="55">
        <v>6787.5833333</v>
      </c>
    </row>
    <row r="40" spans="2:12" ht="16" x14ac:dyDescent="0.2">
      <c r="B40" s="96">
        <v>360134</v>
      </c>
      <c r="C40" s="20" t="s">
        <v>374</v>
      </c>
      <c r="D40" s="20" t="s">
        <v>375</v>
      </c>
      <c r="E40" s="29" t="s">
        <v>19</v>
      </c>
      <c r="F40" s="29">
        <v>418</v>
      </c>
      <c r="G40" s="97" t="str">
        <f t="shared" si="0"/>
        <v>418</v>
      </c>
      <c r="H40" s="29" t="s">
        <v>314</v>
      </c>
      <c r="I40" s="29">
        <v>14</v>
      </c>
      <c r="J40" s="30">
        <v>48037.357143000001</v>
      </c>
      <c r="K40" s="30">
        <v>14373.071429</v>
      </c>
      <c r="L40" s="55">
        <v>11853.571429</v>
      </c>
    </row>
    <row r="41" spans="2:12" ht="16" x14ac:dyDescent="0.2">
      <c r="B41" s="96">
        <v>360134</v>
      </c>
      <c r="C41" s="20" t="s">
        <v>374</v>
      </c>
      <c r="D41" s="20" t="s">
        <v>375</v>
      </c>
      <c r="E41" s="29" t="s">
        <v>19</v>
      </c>
      <c r="F41" s="29">
        <v>453</v>
      </c>
      <c r="G41" s="97" t="str">
        <f t="shared" si="0"/>
        <v>453</v>
      </c>
      <c r="H41" s="29" t="s">
        <v>317</v>
      </c>
      <c r="I41" s="29">
        <v>25</v>
      </c>
      <c r="J41" s="30">
        <v>185649.12</v>
      </c>
      <c r="K41" s="30">
        <v>76513.64</v>
      </c>
      <c r="L41" s="55">
        <v>67046.84</v>
      </c>
    </row>
    <row r="42" spans="2:12" ht="16" x14ac:dyDescent="0.2">
      <c r="B42" s="96">
        <v>360134</v>
      </c>
      <c r="C42" s="20" t="s">
        <v>374</v>
      </c>
      <c r="D42" s="20" t="s">
        <v>375</v>
      </c>
      <c r="E42" s="29" t="s">
        <v>19</v>
      </c>
      <c r="F42" s="29">
        <v>454</v>
      </c>
      <c r="G42" s="97" t="str">
        <f t="shared" si="0"/>
        <v>454</v>
      </c>
      <c r="H42" s="29" t="s">
        <v>318</v>
      </c>
      <c r="I42" s="29">
        <v>46</v>
      </c>
      <c r="J42" s="30">
        <v>173443.23913</v>
      </c>
      <c r="K42" s="30">
        <v>54124.913043</v>
      </c>
      <c r="L42" s="55">
        <v>45842.5</v>
      </c>
    </row>
    <row r="43" spans="2:12" ht="16" x14ac:dyDescent="0.2">
      <c r="B43" s="96">
        <v>360134</v>
      </c>
      <c r="C43" s="20" t="s">
        <v>374</v>
      </c>
      <c r="D43" s="20" t="s">
        <v>375</v>
      </c>
      <c r="E43" s="29" t="s">
        <v>19</v>
      </c>
      <c r="F43" s="29">
        <v>455</v>
      </c>
      <c r="G43" s="97" t="str">
        <f t="shared" si="0"/>
        <v>455</v>
      </c>
      <c r="H43" s="29" t="s">
        <v>319</v>
      </c>
      <c r="I43" s="29">
        <v>42</v>
      </c>
      <c r="J43" s="30">
        <v>95686.928570999997</v>
      </c>
      <c r="K43" s="30">
        <v>39326.952381000003</v>
      </c>
      <c r="L43" s="55">
        <v>33103.928570999997</v>
      </c>
    </row>
    <row r="44" spans="2:12" ht="16" x14ac:dyDescent="0.2">
      <c r="B44" s="96">
        <v>360134</v>
      </c>
      <c r="C44" s="20" t="s">
        <v>374</v>
      </c>
      <c r="D44" s="20" t="s">
        <v>375</v>
      </c>
      <c r="E44" s="29" t="s">
        <v>19</v>
      </c>
      <c r="F44" s="29">
        <v>460</v>
      </c>
      <c r="G44" s="97" t="str">
        <f t="shared" si="0"/>
        <v>460</v>
      </c>
      <c r="H44" s="29" t="s">
        <v>320</v>
      </c>
      <c r="I44" s="29">
        <v>16</v>
      </c>
      <c r="J44" s="30">
        <v>97129.5625</v>
      </c>
      <c r="K44" s="30">
        <v>42761.4375</v>
      </c>
      <c r="L44" s="55">
        <v>18398.9375</v>
      </c>
    </row>
    <row r="45" spans="2:12" ht="16" x14ac:dyDescent="0.2">
      <c r="B45" s="96">
        <v>360134</v>
      </c>
      <c r="C45" s="20" t="s">
        <v>374</v>
      </c>
      <c r="D45" s="20" t="s">
        <v>375</v>
      </c>
      <c r="E45" s="29" t="s">
        <v>19</v>
      </c>
      <c r="F45" s="29">
        <v>470</v>
      </c>
      <c r="G45" s="97" t="str">
        <f t="shared" si="0"/>
        <v>470</v>
      </c>
      <c r="H45" s="29" t="s">
        <v>321</v>
      </c>
      <c r="I45" s="29">
        <v>31</v>
      </c>
      <c r="J45" s="30">
        <v>49549.387096999999</v>
      </c>
      <c r="K45" s="30">
        <v>16784.096774000001</v>
      </c>
      <c r="L45" s="55">
        <v>12370.032257999999</v>
      </c>
    </row>
    <row r="46" spans="2:12" ht="16" x14ac:dyDescent="0.2">
      <c r="B46" s="96">
        <v>360134</v>
      </c>
      <c r="C46" s="20" t="s">
        <v>374</v>
      </c>
      <c r="D46" s="20" t="s">
        <v>375</v>
      </c>
      <c r="E46" s="29" t="s">
        <v>19</v>
      </c>
      <c r="F46" s="29">
        <v>481</v>
      </c>
      <c r="G46" s="97" t="str">
        <f t="shared" si="0"/>
        <v>481</v>
      </c>
      <c r="H46" s="29" t="s">
        <v>322</v>
      </c>
      <c r="I46" s="29">
        <v>22</v>
      </c>
      <c r="J46" s="30">
        <v>51959.409091000001</v>
      </c>
      <c r="K46" s="30">
        <v>16630.272727</v>
      </c>
      <c r="L46" s="55">
        <v>13714.318182000001</v>
      </c>
    </row>
    <row r="47" spans="2:12" ht="16" x14ac:dyDescent="0.2">
      <c r="B47" s="96">
        <v>360134</v>
      </c>
      <c r="C47" s="20" t="s">
        <v>374</v>
      </c>
      <c r="D47" s="20" t="s">
        <v>375</v>
      </c>
      <c r="E47" s="29" t="s">
        <v>19</v>
      </c>
      <c r="F47" s="29">
        <v>483</v>
      </c>
      <c r="G47" s="97" t="str">
        <f t="shared" si="0"/>
        <v>483</v>
      </c>
      <c r="H47" s="29" t="s">
        <v>323</v>
      </c>
      <c r="I47" s="29">
        <v>19</v>
      </c>
      <c r="J47" s="30">
        <v>63037.052631999999</v>
      </c>
      <c r="K47" s="30">
        <v>18459.526315999999</v>
      </c>
      <c r="L47" s="55">
        <v>15916.473684000001</v>
      </c>
    </row>
    <row r="48" spans="2:12" ht="16" x14ac:dyDescent="0.2">
      <c r="B48" s="96">
        <v>360134</v>
      </c>
      <c r="C48" s="20" t="s">
        <v>374</v>
      </c>
      <c r="D48" s="20" t="s">
        <v>375</v>
      </c>
      <c r="E48" s="29" t="s">
        <v>19</v>
      </c>
      <c r="F48" s="29">
        <v>522</v>
      </c>
      <c r="G48" s="97" t="str">
        <f t="shared" si="0"/>
        <v>522</v>
      </c>
      <c r="H48" s="29" t="s">
        <v>324</v>
      </c>
      <c r="I48" s="29">
        <v>14</v>
      </c>
      <c r="J48" s="30">
        <v>58757.142856999999</v>
      </c>
      <c r="K48" s="30">
        <v>18151.214285999999</v>
      </c>
      <c r="L48" s="55">
        <v>13894.142857000001</v>
      </c>
    </row>
    <row r="49" spans="2:12" ht="16" x14ac:dyDescent="0.2">
      <c r="B49" s="96">
        <v>360134</v>
      </c>
      <c r="C49" s="20" t="s">
        <v>374</v>
      </c>
      <c r="D49" s="20" t="s">
        <v>375</v>
      </c>
      <c r="E49" s="29" t="s">
        <v>19</v>
      </c>
      <c r="F49" s="29">
        <v>552</v>
      </c>
      <c r="G49" s="97" t="str">
        <f t="shared" si="0"/>
        <v>552</v>
      </c>
      <c r="H49" s="29" t="s">
        <v>325</v>
      </c>
      <c r="I49" s="29">
        <v>18</v>
      </c>
      <c r="J49" s="30">
        <v>20122.166667000001</v>
      </c>
      <c r="K49" s="30">
        <v>9121.7777778</v>
      </c>
      <c r="L49" s="55">
        <v>6469.2777778</v>
      </c>
    </row>
    <row r="50" spans="2:12" ht="16" x14ac:dyDescent="0.2">
      <c r="B50" s="96">
        <v>360134</v>
      </c>
      <c r="C50" s="20" t="s">
        <v>374</v>
      </c>
      <c r="D50" s="20" t="s">
        <v>375</v>
      </c>
      <c r="E50" s="29" t="s">
        <v>19</v>
      </c>
      <c r="F50" s="29">
        <v>603</v>
      </c>
      <c r="G50" s="97" t="str">
        <f t="shared" si="0"/>
        <v>603</v>
      </c>
      <c r="H50" s="29" t="s">
        <v>328</v>
      </c>
      <c r="I50" s="29">
        <v>18</v>
      </c>
      <c r="J50" s="30">
        <v>16586.333332999999</v>
      </c>
      <c r="K50" s="30">
        <v>8808.3888889000009</v>
      </c>
      <c r="L50" s="55">
        <v>5578.2222222</v>
      </c>
    </row>
    <row r="51" spans="2:12" ht="16" x14ac:dyDescent="0.2">
      <c r="B51" s="96">
        <v>360134</v>
      </c>
      <c r="C51" s="20" t="s">
        <v>374</v>
      </c>
      <c r="D51" s="20" t="s">
        <v>375</v>
      </c>
      <c r="E51" s="29" t="s">
        <v>19</v>
      </c>
      <c r="F51" s="29">
        <v>621</v>
      </c>
      <c r="G51" s="97" t="str">
        <f t="shared" si="0"/>
        <v>621</v>
      </c>
      <c r="H51" s="29" t="s">
        <v>331</v>
      </c>
      <c r="I51" s="29">
        <v>13</v>
      </c>
      <c r="J51" s="30">
        <v>37360.692307999998</v>
      </c>
      <c r="K51" s="30">
        <v>15858.769231</v>
      </c>
      <c r="L51" s="55">
        <v>8158.1538461999999</v>
      </c>
    </row>
    <row r="52" spans="2:12" ht="16" x14ac:dyDescent="0.2">
      <c r="B52" s="96">
        <v>360134</v>
      </c>
      <c r="C52" s="20" t="s">
        <v>374</v>
      </c>
      <c r="D52" s="20" t="s">
        <v>375</v>
      </c>
      <c r="E52" s="29" t="s">
        <v>19</v>
      </c>
      <c r="F52" s="29">
        <v>637</v>
      </c>
      <c r="G52" s="97" t="str">
        <f t="shared" si="0"/>
        <v>637</v>
      </c>
      <c r="H52" s="29" t="s">
        <v>332</v>
      </c>
      <c r="I52" s="29">
        <v>15</v>
      </c>
      <c r="J52" s="30">
        <v>26981.333332999999</v>
      </c>
      <c r="K52" s="30">
        <v>13508.133333</v>
      </c>
      <c r="L52" s="55">
        <v>9586</v>
      </c>
    </row>
    <row r="53" spans="2:12" ht="16" x14ac:dyDescent="0.2">
      <c r="B53" s="96">
        <v>360134</v>
      </c>
      <c r="C53" s="20" t="s">
        <v>374</v>
      </c>
      <c r="D53" s="20" t="s">
        <v>375</v>
      </c>
      <c r="E53" s="29" t="s">
        <v>19</v>
      </c>
      <c r="F53" s="29">
        <v>640</v>
      </c>
      <c r="G53" s="97" t="str">
        <f t="shared" si="0"/>
        <v>640</v>
      </c>
      <c r="H53" s="29" t="s">
        <v>333</v>
      </c>
      <c r="I53" s="29">
        <v>22</v>
      </c>
      <c r="J53" s="30">
        <v>44168</v>
      </c>
      <c r="K53" s="30">
        <v>14132.454545000001</v>
      </c>
      <c r="L53" s="55">
        <v>10529.181817999999</v>
      </c>
    </row>
    <row r="54" spans="2:12" ht="16" x14ac:dyDescent="0.2">
      <c r="B54" s="96">
        <v>360134</v>
      </c>
      <c r="C54" s="20" t="s">
        <v>374</v>
      </c>
      <c r="D54" s="20" t="s">
        <v>375</v>
      </c>
      <c r="E54" s="29" t="s">
        <v>19</v>
      </c>
      <c r="F54" s="29">
        <v>641</v>
      </c>
      <c r="G54" s="97" t="str">
        <f t="shared" si="0"/>
        <v>641</v>
      </c>
      <c r="H54" s="29" t="s">
        <v>334</v>
      </c>
      <c r="I54" s="29">
        <v>22</v>
      </c>
      <c r="J54" s="30">
        <v>23221.545454999999</v>
      </c>
      <c r="K54" s="30">
        <v>7617.4545454999998</v>
      </c>
      <c r="L54" s="55">
        <v>5461.2272727</v>
      </c>
    </row>
    <row r="55" spans="2:12" ht="16" x14ac:dyDescent="0.2">
      <c r="B55" s="96">
        <v>360134</v>
      </c>
      <c r="C55" s="20" t="s">
        <v>374</v>
      </c>
      <c r="D55" s="20" t="s">
        <v>375</v>
      </c>
      <c r="E55" s="29" t="s">
        <v>19</v>
      </c>
      <c r="F55" s="29">
        <v>682</v>
      </c>
      <c r="G55" s="97" t="str">
        <f t="shared" si="0"/>
        <v>682</v>
      </c>
      <c r="H55" s="29" t="s">
        <v>337</v>
      </c>
      <c r="I55" s="29">
        <v>37</v>
      </c>
      <c r="J55" s="30">
        <v>37116.189188999997</v>
      </c>
      <c r="K55" s="30">
        <v>13253.621622000001</v>
      </c>
      <c r="L55" s="55">
        <v>10120.459459</v>
      </c>
    </row>
    <row r="56" spans="2:12" ht="16" x14ac:dyDescent="0.2">
      <c r="B56" s="96">
        <v>360134</v>
      </c>
      <c r="C56" s="20" t="s">
        <v>374</v>
      </c>
      <c r="D56" s="20" t="s">
        <v>375</v>
      </c>
      <c r="E56" s="29" t="s">
        <v>19</v>
      </c>
      <c r="F56" s="29">
        <v>683</v>
      </c>
      <c r="G56" s="97" t="str">
        <f t="shared" si="0"/>
        <v>683</v>
      </c>
      <c r="H56" s="29" t="s">
        <v>338</v>
      </c>
      <c r="I56" s="29">
        <v>36</v>
      </c>
      <c r="J56" s="30">
        <v>21368.972222</v>
      </c>
      <c r="K56" s="30">
        <v>9439.8888889000009</v>
      </c>
      <c r="L56" s="55">
        <v>5710.4444444000001</v>
      </c>
    </row>
    <row r="57" spans="2:12" ht="16" x14ac:dyDescent="0.2">
      <c r="B57" s="96">
        <v>360134</v>
      </c>
      <c r="C57" s="20" t="s">
        <v>374</v>
      </c>
      <c r="D57" s="20" t="s">
        <v>375</v>
      </c>
      <c r="E57" s="29" t="s">
        <v>19</v>
      </c>
      <c r="F57" s="29">
        <v>689</v>
      </c>
      <c r="G57" s="97" t="str">
        <f t="shared" si="0"/>
        <v>689</v>
      </c>
      <c r="H57" s="29" t="s">
        <v>339</v>
      </c>
      <c r="I57" s="29">
        <v>36</v>
      </c>
      <c r="J57" s="30">
        <v>23790.388889000002</v>
      </c>
      <c r="K57" s="30">
        <v>10983.888889</v>
      </c>
      <c r="L57" s="55">
        <v>7599.9722222</v>
      </c>
    </row>
    <row r="58" spans="2:12" ht="16" x14ac:dyDescent="0.2">
      <c r="B58" s="96">
        <v>360134</v>
      </c>
      <c r="C58" s="20" t="s">
        <v>374</v>
      </c>
      <c r="D58" s="20" t="s">
        <v>375</v>
      </c>
      <c r="E58" s="29" t="s">
        <v>19</v>
      </c>
      <c r="F58" s="29">
        <v>690</v>
      </c>
      <c r="G58" s="97" t="str">
        <f t="shared" si="0"/>
        <v>690</v>
      </c>
      <c r="H58" s="29" t="s">
        <v>340</v>
      </c>
      <c r="I58" s="29">
        <v>22</v>
      </c>
      <c r="J58" s="30">
        <v>16924.681818000001</v>
      </c>
      <c r="K58" s="30">
        <v>7761.2727273</v>
      </c>
      <c r="L58" s="55">
        <v>5328</v>
      </c>
    </row>
    <row r="59" spans="2:12" ht="16" x14ac:dyDescent="0.2">
      <c r="B59" s="96">
        <v>360134</v>
      </c>
      <c r="C59" s="20" t="s">
        <v>374</v>
      </c>
      <c r="D59" s="20" t="s">
        <v>375</v>
      </c>
      <c r="E59" s="29" t="s">
        <v>19</v>
      </c>
      <c r="F59" s="29">
        <v>698</v>
      </c>
      <c r="G59" s="97" t="str">
        <f t="shared" si="0"/>
        <v>698</v>
      </c>
      <c r="H59" s="29" t="s">
        <v>341</v>
      </c>
      <c r="I59" s="29">
        <v>16</v>
      </c>
      <c r="J59" s="30">
        <v>32402.8125</v>
      </c>
      <c r="K59" s="30">
        <v>13697.4375</v>
      </c>
      <c r="L59" s="55">
        <v>11361.625</v>
      </c>
    </row>
    <row r="60" spans="2:12" ht="16" x14ac:dyDescent="0.2">
      <c r="B60" s="96">
        <v>360134</v>
      </c>
      <c r="C60" s="20" t="s">
        <v>374</v>
      </c>
      <c r="D60" s="20" t="s">
        <v>375</v>
      </c>
      <c r="E60" s="29" t="s">
        <v>19</v>
      </c>
      <c r="F60" s="29">
        <v>812</v>
      </c>
      <c r="G60" s="97" t="str">
        <f t="shared" si="0"/>
        <v>812</v>
      </c>
      <c r="H60" s="29" t="s">
        <v>344</v>
      </c>
      <c r="I60" s="29">
        <v>13</v>
      </c>
      <c r="J60" s="30">
        <v>22089.230769000002</v>
      </c>
      <c r="K60" s="30">
        <v>8913.3076923000008</v>
      </c>
      <c r="L60" s="55">
        <v>6115.4615384999997</v>
      </c>
    </row>
    <row r="61" spans="2:12" ht="16" x14ac:dyDescent="0.2">
      <c r="B61" s="96">
        <v>360134</v>
      </c>
      <c r="C61" s="20" t="s">
        <v>374</v>
      </c>
      <c r="D61" s="20" t="s">
        <v>375</v>
      </c>
      <c r="E61" s="29" t="s">
        <v>19</v>
      </c>
      <c r="F61" s="29">
        <v>847</v>
      </c>
      <c r="G61" s="97" t="str">
        <f t="shared" si="0"/>
        <v>847</v>
      </c>
      <c r="H61" s="29" t="s">
        <v>347</v>
      </c>
      <c r="I61" s="29">
        <v>11</v>
      </c>
      <c r="J61" s="30">
        <v>24663.727273</v>
      </c>
      <c r="K61" s="30">
        <v>10913.818182000001</v>
      </c>
      <c r="L61" s="55">
        <v>9259.2727273</v>
      </c>
    </row>
    <row r="62" spans="2:12" ht="16" x14ac:dyDescent="0.2">
      <c r="B62" s="96">
        <v>360134</v>
      </c>
      <c r="C62" s="20" t="s">
        <v>374</v>
      </c>
      <c r="D62" s="20" t="s">
        <v>375</v>
      </c>
      <c r="E62" s="29" t="s">
        <v>19</v>
      </c>
      <c r="F62" s="29">
        <v>853</v>
      </c>
      <c r="G62" s="97" t="str">
        <f t="shared" si="0"/>
        <v>853</v>
      </c>
      <c r="H62" s="29" t="s">
        <v>350</v>
      </c>
      <c r="I62" s="29">
        <v>33</v>
      </c>
      <c r="J62" s="30">
        <v>83539.757576000004</v>
      </c>
      <c r="K62" s="30">
        <v>39807.090908999999</v>
      </c>
      <c r="L62" s="55">
        <v>31325.818181999999</v>
      </c>
    </row>
    <row r="63" spans="2:12" ht="16" x14ac:dyDescent="0.2">
      <c r="B63" s="96">
        <v>360134</v>
      </c>
      <c r="C63" s="20" t="s">
        <v>374</v>
      </c>
      <c r="D63" s="20" t="s">
        <v>375</v>
      </c>
      <c r="E63" s="29" t="s">
        <v>19</v>
      </c>
      <c r="F63" s="29">
        <v>871</v>
      </c>
      <c r="G63" s="97" t="str">
        <f t="shared" si="0"/>
        <v>871</v>
      </c>
      <c r="H63" s="29" t="s">
        <v>351</v>
      </c>
      <c r="I63" s="29">
        <v>215</v>
      </c>
      <c r="J63" s="30">
        <v>49894.618605000003</v>
      </c>
      <c r="K63" s="30">
        <v>18108.627906999998</v>
      </c>
      <c r="L63" s="55">
        <v>13769.795349</v>
      </c>
    </row>
    <row r="64" spans="2:12" ht="16" x14ac:dyDescent="0.2">
      <c r="B64" s="96">
        <v>360134</v>
      </c>
      <c r="C64" s="20" t="s">
        <v>374</v>
      </c>
      <c r="D64" s="20" t="s">
        <v>375</v>
      </c>
      <c r="E64" s="29" t="s">
        <v>19</v>
      </c>
      <c r="F64" s="29">
        <v>872</v>
      </c>
      <c r="G64" s="97" t="str">
        <f t="shared" si="0"/>
        <v>872</v>
      </c>
      <c r="H64" s="29" t="s">
        <v>352</v>
      </c>
      <c r="I64" s="29">
        <v>42</v>
      </c>
      <c r="J64" s="30">
        <v>23585.714285999999</v>
      </c>
      <c r="K64" s="30">
        <v>9983.5238095000004</v>
      </c>
      <c r="L64" s="55">
        <v>6331.8571429000003</v>
      </c>
    </row>
    <row r="65" spans="2:12" ht="16" x14ac:dyDescent="0.2">
      <c r="B65" s="96">
        <v>360134</v>
      </c>
      <c r="C65" s="20" t="s">
        <v>374</v>
      </c>
      <c r="D65" s="20" t="s">
        <v>375</v>
      </c>
      <c r="E65" s="29" t="s">
        <v>19</v>
      </c>
      <c r="F65" s="29">
        <v>917</v>
      </c>
      <c r="G65" s="97" t="str">
        <f t="shared" si="0"/>
        <v>917</v>
      </c>
      <c r="H65" s="29" t="s">
        <v>355</v>
      </c>
      <c r="I65" s="29">
        <v>12</v>
      </c>
      <c r="J65" s="30">
        <v>37931.416666999998</v>
      </c>
      <c r="K65" s="30">
        <v>13132.333333</v>
      </c>
      <c r="L65" s="55">
        <v>10578.916667</v>
      </c>
    </row>
    <row r="66" spans="2:12" ht="16" x14ac:dyDescent="0.2">
      <c r="B66" s="96">
        <v>360134</v>
      </c>
      <c r="C66" s="20" t="s">
        <v>374</v>
      </c>
      <c r="D66" s="20" t="s">
        <v>375</v>
      </c>
      <c r="E66" s="29" t="s">
        <v>19</v>
      </c>
      <c r="F66" s="29">
        <v>948</v>
      </c>
      <c r="G66" s="97" t="str">
        <f t="shared" si="0"/>
        <v>948</v>
      </c>
      <c r="H66" s="29" t="s">
        <v>358</v>
      </c>
      <c r="I66" s="29">
        <v>18</v>
      </c>
      <c r="J66" s="30">
        <v>20756.277778</v>
      </c>
      <c r="K66" s="30">
        <v>8105.8888889</v>
      </c>
      <c r="L66" s="55">
        <v>5469.2222222</v>
      </c>
    </row>
    <row r="67" spans="2:12" ht="17" thickBot="1" x14ac:dyDescent="0.25">
      <c r="B67" s="98">
        <v>360134</v>
      </c>
      <c r="C67" s="99" t="s">
        <v>374</v>
      </c>
      <c r="D67" s="99" t="s">
        <v>375</v>
      </c>
      <c r="E67" s="58" t="s">
        <v>19</v>
      </c>
      <c r="F67" s="58">
        <v>981</v>
      </c>
      <c r="G67" s="100" t="str">
        <f t="shared" si="0"/>
        <v>981</v>
      </c>
      <c r="H67" s="58" t="s">
        <v>361</v>
      </c>
      <c r="I67" s="58">
        <v>11</v>
      </c>
      <c r="J67" s="60">
        <v>93427</v>
      </c>
      <c r="K67" s="60">
        <v>45048.181817999997</v>
      </c>
      <c r="L67" s="6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Output &amp; Summary</vt:lpstr>
      <vt:lpstr>Input</vt:lpstr>
      <vt:lpstr>Master Table</vt:lpstr>
      <vt:lpstr>SC1 Admission Drop Scenario</vt:lpstr>
      <vt:lpstr>SC2 Reduce LOS</vt:lpstr>
      <vt:lpstr>Ohio Urban Hospitals Financial </vt:lpstr>
      <vt:lpstr>Good Samaritan Hospital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Abdulrahman Alali</cp:lastModifiedBy>
  <cp:revision/>
  <dcterms:created xsi:type="dcterms:W3CDTF">2026-01-15T23:23:25Z</dcterms:created>
  <dcterms:modified xsi:type="dcterms:W3CDTF">2026-01-25T21:14:10Z</dcterms:modified>
  <cp:category/>
  <cp:contentStatus/>
</cp:coreProperties>
</file>